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sat\Downloads\"/>
    </mc:Choice>
  </mc:AlternateContent>
  <xr:revisionPtr revIDLastSave="0" documentId="13_ncr:1_{C3898015-CC66-4999-97C9-18347402F481}" xr6:coauthVersionLast="47" xr6:coauthVersionMax="47" xr10:uidLastSave="{00000000-0000-0000-0000-000000000000}"/>
  <bookViews>
    <workbookView xWindow="-289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G36" i="3"/>
</calcChain>
</file>

<file path=xl/sharedStrings.xml><?xml version="1.0" encoding="utf-8"?>
<sst xmlns="http://schemas.openxmlformats.org/spreadsheetml/2006/main" count="2012" uniqueCount="323">
  <si>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</si>
  <si>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</si>
  <si>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</si>
  <si>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</si>
  <si>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</si>
  <si>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</si>
  <si>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</si>
  <si>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</si>
  <si>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</si>
  <si>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</si>
  <si>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</si>
  <si>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</si>
  <si>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</si>
  <si>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</si>
  <si>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</si>
  <si>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</si>
  <si>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</si>
  <si>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</si>
  <si>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</si>
  <si>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</si>
  <si>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</si>
  <si>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</si>
  <si>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</si>
  <si>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</si>
  <si>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</si>
  <si>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</si>
  <si>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</si>
  <si>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</si>
  <si>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</si>
  <si>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</si>
  <si>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</si>
  <si>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</si>
  <si>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</si>
  <si>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</si>
  <si>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</si>
  <si>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</si>
  <si>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</si>
  <si>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</si>
  <si>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</si>
  <si>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</si>
  <si>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</si>
  <si>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</si>
  <si>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</si>
  <si>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</si>
  <si>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</si>
  <si>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</si>
  <si>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</si>
  <si>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</si>
  <si>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</si>
  <si>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</si>
  <si>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</si>
  <si>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</si>
  <si>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</si>
  <si>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</si>
  <si>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</si>
  <si>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</si>
  <si>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</si>
  <si>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</si>
  <si>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</si>
  <si>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</si>
  <si>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</si>
  <si>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</si>
  <si>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</si>
  <si>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</si>
  <si>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</si>
  <si>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</si>
  <si>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</si>
  <si>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</si>
  <si>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</si>
  <si>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</si>
  <si>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</si>
  <si>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</si>
  <si>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</si>
  <si>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</si>
  <si>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</si>
  <si>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</si>
  <si>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</si>
  <si>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</si>
  <si>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</si>
  <si>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</si>
  <si>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</si>
  <si>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</si>
  <si>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</si>
  <si>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</si>
  <si>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</si>
  <si>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</si>
  <si>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</si>
  <si>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</si>
  <si>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</si>
  <si>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</si>
  <si>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</si>
  <si>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</si>
  <si>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</si>
  <si>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</si>
  <si>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</si>
  <si>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</si>
  <si>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</si>
  <si>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</si>
  <si>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</si>
  <si>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</si>
  <si>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</si>
  <si>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</si>
  <si>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</si>
  <si>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</si>
  <si>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</si>
  <si>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</si>
  <si>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</si>
  <si>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</si>
  <si>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</si>
  <si>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</si>
  <si>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</si>
  <si>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</si>
  <si>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</si>
  <si>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</si>
  <si>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</si>
  <si>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</si>
  <si>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</si>
  <si>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</si>
  <si>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</si>
  <si>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</si>
  <si>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</si>
  <si>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</si>
  <si>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</si>
  <si>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</si>
  <si>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</si>
  <si>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</si>
  <si>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</si>
  <si>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</si>
  <si>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</si>
  <si>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</si>
  <si>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</si>
  <si>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</si>
  <si>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</si>
  <si>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</si>
  <si>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</si>
  <si>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</si>
  <si>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</si>
  <si>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</si>
  <si>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</si>
  <si>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</si>
  <si>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</si>
  <si>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</si>
  <si>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</si>
  <si>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</si>
  <si>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</si>
  <si>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</si>
  <si>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</si>
  <si>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</si>
  <si>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</si>
  <si>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</si>
  <si>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</si>
  <si>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</si>
  <si>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</si>
  <si>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</si>
  <si>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</si>
  <si>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</si>
  <si>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</si>
  <si>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</si>
  <si>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</si>
  <si>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</si>
  <si>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</si>
  <si>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</si>
  <si>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</si>
  <si>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</si>
  <si>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</si>
  <si>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</si>
  <si>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</si>
  <si>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</si>
  <si>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</si>
  <si>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</si>
  <si>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</si>
  <si>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</si>
  <si>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</si>
  <si>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</si>
  <si>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</si>
  <si>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</si>
  <si>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</si>
  <si>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</si>
  <si>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</si>
  <si>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</si>
  <si>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</si>
  <si>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</si>
  <si>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</si>
  <si>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</si>
  <si>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</si>
  <si>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</si>
  <si>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</si>
  <si>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</si>
  <si>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</si>
  <si>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</si>
  <si>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</si>
  <si>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</si>
  <si>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</si>
  <si>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</si>
  <si>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</si>
  <si>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</si>
  <si>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</si>
  <si>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</si>
  <si>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</si>
  <si>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</si>
  <si>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</si>
  <si>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</si>
  <si>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</si>
  <si>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</si>
  <si>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</si>
  <si>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</si>
  <si>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</si>
  <si>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</si>
  <si>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</si>
  <si>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</si>
  <si>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</si>
  <si>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</si>
  <si>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</si>
  <si>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</si>
  <si>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</si>
  <si>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</si>
  <si>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</si>
  <si>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</si>
  <si>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</si>
  <si>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</si>
  <si>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</si>
  <si>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</si>
  <si>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</si>
  <si>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</si>
  <si>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</si>
  <si>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</si>
  <si>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</si>
  <si>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</si>
  <si>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</si>
  <si>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</si>
  <si>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</si>
  <si>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</si>
  <si>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</si>
  <si>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</si>
  <si>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</si>
  <si>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</si>
  <si>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</si>
  <si>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</si>
  <si>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</si>
  <si>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</si>
  <si>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</si>
  <si>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</si>
  <si>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</si>
  <si>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</si>
  <si>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</si>
  <si>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</si>
  <si>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</si>
  <si>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</si>
  <si>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</si>
  <si>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</si>
  <si>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</si>
  <si>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</si>
  <si>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</si>
  <si>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</si>
  <si>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</si>
  <si>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</si>
  <si>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</si>
  <si>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</si>
  <si>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</si>
  <si>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</si>
  <si>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</si>
  <si>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</si>
  <si>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</si>
  <si>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</si>
  <si>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</si>
  <si>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</si>
  <si>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</si>
  <si>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</si>
  <si>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</si>
  <si>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</si>
  <si>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</si>
  <si>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</si>
  <si>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</si>
  <si>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</si>
  <si>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</si>
  <si>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</si>
  <si>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</si>
  <si>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</si>
  <si>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</si>
  <si>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</si>
  <si>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</si>
  <si>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</si>
  <si>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</si>
  <si>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</si>
  <si>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</si>
  <si>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</si>
  <si>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</si>
  <si>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</si>
  <si>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</si>
  <si>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</si>
  <si>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</si>
  <si>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</si>
  <si>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</si>
  <si>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</si>
  <si>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</si>
  <si>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</si>
  <si>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</si>
  <si>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</si>
  <si>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</si>
  <si>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</si>
  <si>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</si>
  <si>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</si>
  <si>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</si>
  <si>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</si>
  <si>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</si>
  <si>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</si>
  <si>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</si>
  <si>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</si>
  <si>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</si>
  <si>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</si>
  <si>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</si>
  <si>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</si>
  <si>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</si>
  <si>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</si>
  <si>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</si>
  <si>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</si>
  <si>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a diferença entre os dados e informação e a pergunta que você faz </t>
  </si>
  <si>
    <t xml:space="preserve">o grafico serve pra representar visualmente as informações </t>
  </si>
  <si>
    <t xml:space="preserve">a importancia do data view </t>
  </si>
  <si>
    <t xml:space="preserve">não me faça pensar ! Steve Krug </t>
  </si>
  <si>
    <t>XBOX GAME PASS SUBS SALES</t>
  </si>
  <si>
    <t xml:space="preserve"> 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</si>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</sst>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3"/>
      <name val="Aptos Narrow"/>
      <family val="2"/>
      <scheme val="minor"/>
    </font>
    <font>
      <b/>
      <sz val="26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164" fontId="0" fillId="0" borderId="0" xfId="0" applyNumberFormat="1"/>
    <xf numFmtId="0" fontId="4" fillId="0" borderId="2" xfId="1" applyFont="1" applyBorder="1" applyAlignment="1">
      <alignment horizontal="left" indent="8"/>
    </xf>
    <xf numFmtId="0" fontId="4" fillId="0" borderId="0" xfId="1" applyFont="1" applyBorder="1" applyAlignment="1">
      <alignment horizontal="left" indent="8"/>
    </xf>
    <xf numFmtId="0" fontId="5" fillId="0" borderId="0" xfId="1" applyFont="1" applyBorder="1" applyAlignment="1">
      <alignment horizontal="left" indent="9"/>
    </xf>
  </cellXfs>
  <cellStyles count="3">
    <cellStyle name="Moeda" xfId="2" builtinId="4"/>
    <cellStyle name="Normal" xfId="0" builtinId="0"/>
    <cellStyle name="Título 1" xfId="1" builtinId="16"/>
  </cellStyles>
  <dxfs count="2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5BF6A8"/>
        </patternFill>
      </fill>
    </dxf>
    <dxf>
      <fill>
        <patternFill>
          <bgColor rgb="FF5BF6A8"/>
        </patternFill>
      </fill>
    </dxf>
    <dxf>
      <fill>
        <patternFill>
          <bgColor rgb="FF5BF6A8"/>
        </patternFill>
      </fill>
    </dxf>
    <dxf>
      <fill>
        <patternFill>
          <bgColor rgb="FF92D050"/>
        </patternFill>
      </fill>
    </dxf>
    <dxf>
      <fill>
        <patternFill>
          <bgColor rgb="FF2AE6B1"/>
        </patternFill>
      </fill>
    </dxf>
    <dxf>
      <fill>
        <patternFill>
          <bgColor theme="9"/>
        </patternFill>
      </fill>
    </dxf>
    <dxf>
      <fill>
        <patternFill>
          <fgColor rgb="FF22C55E"/>
        </patternFill>
      </fill>
    </dxf>
    <dxf>
      <fill>
        <patternFill>
          <fgColor rgb="FF22C55E"/>
        </patternFill>
      </fill>
    </dxf>
    <dxf>
      <font>
        <color rgb="FF22C55E"/>
      </font>
    </dxf>
    <dxf>
      <font>
        <name val="Araboto-Medium"/>
        <scheme val="none"/>
      </font>
      <fill>
        <patternFill>
          <fgColor rgb="FF2AE6B1"/>
          <bgColor rgb="FF2AE6B1"/>
        </patternFill>
      </fill>
    </dxf>
    <dxf>
      <fill>
        <patternFill>
          <bgColor rgb="FF5BF6A8"/>
        </patternFill>
      </fill>
    </dxf>
  </dxfs>
  <tableStyles count="11" defaultTableStyle="TableStyleMedium2" defaultPivotStyle="PivotStyleLight16">
    <tableStyle name="Estilo de Segmentação de Dados 1" pivot="0" table="0" count="0" xr9:uid="{2C8019EB-10FB-4617-BF7E-CEF003297D74}"/>
    <tableStyle name="Estilo de Segmentação de Dados 10" pivot="0" table="0" count="3" xr9:uid="{DBFBC21A-445F-4F5C-97D2-191FB3CAF890}">
      <tableStyleElement type="wholeTable" dxfId="24"/>
    </tableStyle>
    <tableStyle name="Estilo de Segmentação de Dados 11" pivot="0" table="0" count="1" xr9:uid="{FE915E73-41E4-46E4-B758-12EE9C0CF05E}">
      <tableStyleElement type="wholeTable" dxfId="23"/>
    </tableStyle>
    <tableStyle name="Estilo de Segmentação de Dados 2" pivot="0" table="0" count="1" xr9:uid="{A424260D-6EEE-4F64-A141-5D2B40290ED7}">
      <tableStyleElement type="wholeTable" dxfId="22"/>
    </tableStyle>
    <tableStyle name="Estilo de Segmentação de Dados 3" pivot="0" table="0" count="1" xr9:uid="{D16B9C10-D1A3-49B8-92F6-19EE6396A409}">
      <tableStyleElement type="wholeTable" dxfId="21"/>
    </tableStyle>
    <tableStyle name="Estilo de Segmentação de Dados 4" pivot="0" table="0" count="1" xr9:uid="{C4CC5E2C-DAF3-4A95-8D76-30C272649A8A}">
      <tableStyleElement type="wholeTable" dxfId="20"/>
    </tableStyle>
    <tableStyle name="Estilo de Segmentação de Dados 5" pivot="0" table="0" count="1" xr9:uid="{AC338DE8-D2AC-48C6-A553-8BDB92A3B9FB}">
      <tableStyleElement type="wholeTable" dxfId="19"/>
    </tableStyle>
    <tableStyle name="Estilo de Segmentação de Dados 6" pivot="0" table="0" count="1" xr9:uid="{2BA78024-AAFC-4E81-8BCC-18DF0D53585A}">
      <tableStyleElement type="wholeTable" dxfId="18"/>
    </tableStyle>
    <tableStyle name="Estilo de Segmentação de Dados 7" pivot="0" table="0" count="1" xr9:uid="{0B14B5A0-E1D7-4079-A65D-9D60C3545056}">
      <tableStyleElement type="headerRow" dxfId="17"/>
    </tableStyle>
    <tableStyle name="Estilo de Segmentação de Dados 8" pivot="0" table="0" count="3" xr9:uid="{60D22969-9BB2-4D8B-908D-470D526F20D9}">
      <tableStyleElement type="wholeTable" dxfId="16"/>
      <tableStyleElement type="headerRow" dxfId="15"/>
    </tableStyle>
    <tableStyle name="Estilo de Segmentação de Dados 9" pivot="0" table="0" count="3" xr9:uid="{CCD01C90-1967-4EA5-A218-133D7864F66F}"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0"/>
            </patternFill>
          </fill>
        </dxf>
        <dxf>
          <fill>
            <patternFill>
              <bgColor theme="9" tint="0.79998168889431442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6" tint="0.79998168889431442"/>
            </patternFill>
          </fill>
        </dxf>
        <dxf>
          <fill>
            <patternFill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10">
          <x14:slicerStyleElements>
            <x14:slicerStyleElement type="selectedItemWithData" dxfId="4"/>
            <x14:slicerStyleElement type="selectedItemWithNoData" dxfId="3"/>
          </x14:slicerStyleElements>
        </x14:slicerStyle>
        <x14:slicerStyle name="Estilo de Segmentação de Dados 1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  <x14:slicerStyle name="Estilo de Segmentação de Dados 6"/>
        <x14:slicerStyle name="Estilo de Segmentação de Dados 7"/>
        <x14:slicerStyle name="Estilo de Segmentação de Dados 8">
          <x14:slicerStyleElements>
            <x14:slicerStyleElement type="selectedItemWithData" dxfId="2"/>
          </x14:slicerStyleElements>
        </x14:slicerStyle>
        <x14:slicerStyle name="Estilo de Segmentação de Dados 9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[trabalho nanda dashboard .xlsx]C̳álculos!Tabela dinâmica1</c:name>
    <c:fmtId val="1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096-493B-9AC4-57DCEC71004B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96-493B-9AC4-57DCEC71004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96-493B-9AC4-57DCEC71004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96-493B-9AC4-57DCEC7100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96-493B-9AC4-57DCEC710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70431"/>
        <c:axId val="15373791"/>
      </c:barChart>
      <c:catAx>
        <c:axId val="1537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73791"/>
        <c:crosses val="autoZero"/>
        <c:auto val="1"/>
        <c:lblAlgn val="ctr"/>
        <c:lblOffset val="100"/>
        <c:noMultiLvlLbl val="0"/>
      </c:catAx>
      <c:valAx>
        <c:axId val="153737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37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2188845</xdr:colOff>
      <xdr:row>0</xdr:row>
      <xdr:rowOff>438150</xdr:rowOff>
    </xdr:from>
    <xdr:to>
      <xdr:col>2</xdr:col>
      <xdr:colOff>504825</xdr:colOff>
      <xdr:row>2</xdr:row>
      <xdr:rowOff>295533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3E2293-97FD-446A-870D-5A91819F57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545"/>
        <a:stretch>
          <a:fillRect/>
        </a:stretch>
      </xdr:blipFill>
      <xdr:spPr>
        <a:xfrm>
          <a:off x="2188845" y="438150"/>
          <a:ext cx="782955" cy="971808"/>
        </a:xfrm>
        <a:prstGeom prst="rect">
          <a:avLst/>
        </a:prstGeom>
      </xdr:spPr>
    </xdr:pic>
    <xdr:clientData/>
  </xdr:twoCellAnchor>
  <xdr:twoCellAnchor editAs="oneCell">
    <xdr:from>
      <xdr:col>0</xdr:col>
      <xdr:colOff>196216</xdr:colOff>
      <xdr:row>3</xdr:row>
      <xdr:rowOff>207643</xdr:rowOff>
    </xdr:from>
    <xdr:to>
      <xdr:col>0</xdr:col>
      <xdr:colOff>2036446</xdr:colOff>
      <xdr:row>12</xdr:row>
      <xdr:rowOff>136607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A5DB8C14-A768-40BF-A3D3-E17080F6CD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21" y="1678303"/>
              <a:ext cx="1842135" cy="26645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16</xdr:row>
      <xdr:rowOff>0</xdr:rowOff>
    </xdr:from>
    <xdr:to>
      <xdr:col>27</xdr:col>
      <xdr:colOff>0</xdr:colOff>
      <xdr:row>42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3766581C-3ACA-04F1-3EBF-ABFA32BF11FF}"/>
            </a:ext>
          </a:extLst>
        </xdr:cNvPr>
        <xdr:cNvGrpSpPr/>
      </xdr:nvGrpSpPr>
      <xdr:grpSpPr>
        <a:xfrm>
          <a:off x="2466975" y="4933950"/>
          <a:ext cx="15078075" cy="4705350"/>
          <a:chOff x="2340072" y="2284609"/>
          <a:chExt cx="6090084" cy="3763991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F736DCC-65E2-7F8D-7D5D-9607A01D99EC}"/>
              </a:ext>
            </a:extLst>
          </xdr:cNvPr>
          <xdr:cNvSpPr/>
        </xdr:nvSpPr>
        <xdr:spPr>
          <a:xfrm>
            <a:off x="2340072" y="2284609"/>
            <a:ext cx="6090084" cy="3698558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717B9C89-CEC0-401C-8010-5E88F969F5F4}"/>
              </a:ext>
            </a:extLst>
          </xdr:cNvPr>
          <xdr:cNvGraphicFramePr>
            <a:graphicFrameLocks/>
          </xdr:cNvGraphicFramePr>
        </xdr:nvGraphicFramePr>
        <xdr:xfrm>
          <a:off x="2602490" y="2766561"/>
          <a:ext cx="5440315" cy="32820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2</xdr:col>
      <xdr:colOff>320857</xdr:colOff>
      <xdr:row>3</xdr:row>
      <xdr:rowOff>445770</xdr:rowOff>
    </xdr:from>
    <xdr:to>
      <xdr:col>14</xdr:col>
      <xdr:colOff>54019</xdr:colOff>
      <xdr:row>11</xdr:row>
      <xdr:rowOff>40481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9B0116EB-6960-21D6-1332-E095615BC994}"/>
            </a:ext>
          </a:extLst>
        </xdr:cNvPr>
        <xdr:cNvGrpSpPr/>
      </xdr:nvGrpSpPr>
      <xdr:grpSpPr>
        <a:xfrm>
          <a:off x="2791642" y="1910715"/>
          <a:ext cx="6886437" cy="2158841"/>
          <a:chOff x="2680811" y="1970723"/>
          <a:chExt cx="6873715" cy="2123122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DA8DD58D-59C0-854A-EE47-DE5E63922594}"/>
              </a:ext>
            </a:extLst>
          </xdr:cNvPr>
          <xdr:cNvSpPr/>
        </xdr:nvSpPr>
        <xdr:spPr>
          <a:xfrm>
            <a:off x="2680811" y="2095500"/>
            <a:ext cx="6836093" cy="199834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0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5B386EE2-5794-4451-9155-216D004CC429}"/>
              </a:ext>
            </a:extLst>
          </xdr:cNvPr>
          <xdr:cNvSpPr/>
        </xdr:nvSpPr>
        <xdr:spPr>
          <a:xfrm>
            <a:off x="4701061" y="2422684"/>
            <a:ext cx="4853465" cy="161544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057E1FC-9114-4507-9CC3-6D6689830F48}" type="TxLink">
              <a:rPr lang="en-US" sz="4800" b="0" i="0" u="none" strike="noStrike">
                <a:solidFill>
                  <a:srgbClr val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pPr algn="ctr"/>
              <a:t>R$ 2.308,00</a:t>
            </a:fld>
            <a:endParaRPr lang="en-US" sz="48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ECA4378A-B2E9-4B54-8546-D4575443A4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07532" y="2695098"/>
            <a:ext cx="1221105" cy="116586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83524775-F561-389A-1592-14C845C2E9A4}"/>
              </a:ext>
            </a:extLst>
          </xdr:cNvPr>
          <xdr:cNvSpPr/>
        </xdr:nvSpPr>
        <xdr:spPr>
          <a:xfrm>
            <a:off x="2685097" y="1970723"/>
            <a:ext cx="6833712" cy="604837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TOTAL SUBS EA</a:t>
            </a:r>
            <a:r>
              <a:rPr lang="pt-BR" sz="2400" b="1" baseline="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SEASON PASS</a:t>
            </a:r>
            <a:endParaRPr lang="pt-BR" sz="24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xdr:txBody>
      </xdr:sp>
    </xdr:grpSp>
    <xdr:clientData/>
  </xdr:twoCellAnchor>
  <xdr:twoCellAnchor>
    <xdr:from>
      <xdr:col>15</xdr:col>
      <xdr:colOff>132991</xdr:colOff>
      <xdr:row>3</xdr:row>
      <xdr:rowOff>506252</xdr:rowOff>
    </xdr:from>
    <xdr:to>
      <xdr:col>26</xdr:col>
      <xdr:colOff>291873</xdr:colOff>
      <xdr:row>11</xdr:row>
      <xdr:rowOff>117155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02CD31E-A9B6-A7CA-1914-C8B9F557E9AC}"/>
            </a:ext>
          </a:extLst>
        </xdr:cNvPr>
        <xdr:cNvGrpSpPr/>
      </xdr:nvGrpSpPr>
      <xdr:grpSpPr>
        <a:xfrm>
          <a:off x="10366651" y="1975007"/>
          <a:ext cx="6856862" cy="2171223"/>
          <a:chOff x="10312835" y="1923096"/>
          <a:chExt cx="6838288" cy="2146934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ED23AFCC-FF61-4E96-9866-06FBFD3C4F7A}"/>
              </a:ext>
            </a:extLst>
          </xdr:cNvPr>
          <xdr:cNvGrpSpPr/>
        </xdr:nvGrpSpPr>
        <xdr:grpSpPr>
          <a:xfrm>
            <a:off x="10316645" y="1925001"/>
            <a:ext cx="6830668" cy="2145029"/>
            <a:chOff x="2752363" y="1966454"/>
            <a:chExt cx="6843587" cy="2139254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B4A50F57-EB2C-1832-2406-C624B65F91DB}"/>
                </a:ext>
              </a:extLst>
            </xdr:cNvPr>
            <xdr:cNvSpPr/>
          </xdr:nvSpPr>
          <xdr:spPr>
            <a:xfrm>
              <a:off x="2752363" y="2107363"/>
              <a:ext cx="6836093" cy="199834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G36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3DC259A1-E7F7-8EA3-22D6-6363E5065392}"/>
                </a:ext>
              </a:extLst>
            </xdr:cNvPr>
            <xdr:cNvSpPr/>
          </xdr:nvSpPr>
          <xdr:spPr>
            <a:xfrm>
              <a:off x="4701061" y="2422684"/>
              <a:ext cx="4853465" cy="161544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4762525-1CE5-437A-BE99-D07DE82C8EC1}" type="TxLink">
                <a:rPr lang="en-US" sz="4800" b="0" i="0" u="none" strike="noStrike">
                  <a:solidFill>
                    <a:srgbClr val="000000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R$ 1.140,00</a:t>
              </a:fld>
              <a:endParaRPr lang="en-US" sz="48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51208FF7-87A6-6C8A-88AF-915FA9C0D8D1}"/>
                </a:ext>
              </a:extLst>
            </xdr:cNvPr>
            <xdr:cNvSpPr/>
          </xdr:nvSpPr>
          <xdr:spPr>
            <a:xfrm>
              <a:off x="2757004" y="1966454"/>
              <a:ext cx="6838946" cy="602143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TOTAL SUBS EA</a:t>
              </a:r>
              <a:r>
                <a:rPr lang="pt-BR" sz="2400" b="1" baseline="0"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 SEASON PASS</a:t>
              </a:r>
              <a:endParaRPr lang="pt-BR" sz="2400" b="1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D6CEF23F-D54B-4FF0-802C-696247E643C0}"/>
              </a:ext>
            </a:extLst>
          </xdr:cNvPr>
          <xdr:cNvGrpSpPr/>
        </xdr:nvGrpSpPr>
        <xdr:grpSpPr>
          <a:xfrm>
            <a:off x="10654225" y="2816066"/>
            <a:ext cx="1555191" cy="712471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3104B2E3-98C6-FADC-0B6E-E60AD1CDDE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F7094CEF-0394-EAD0-093F-4EA5F9C5EB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15</xdr:row>
      <xdr:rowOff>0</xdr:rowOff>
    </xdr:from>
    <xdr:to>
      <xdr:col>27</xdr:col>
      <xdr:colOff>0</xdr:colOff>
      <xdr:row>19</xdr:row>
      <xdr:rowOff>0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FE10B2BC-E3B6-A6D0-02A8-EE90E3FFAFD8}"/>
            </a:ext>
          </a:extLst>
        </xdr:cNvPr>
        <xdr:cNvSpPr/>
      </xdr:nvSpPr>
      <xdr:spPr>
        <a:xfrm>
          <a:off x="2435679" y="4680857"/>
          <a:ext cx="15144750" cy="707572"/>
        </a:xfrm>
        <a:prstGeom prst="round2Same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XBOX GAMEPASS</a:t>
          </a:r>
        </a:p>
      </xdr:txBody>
    </xdr:sp>
    <xdr:clientData/>
  </xdr:twoCellAnchor>
  <xdr:twoCellAnchor>
    <xdr:from>
      <xdr:col>0</xdr:col>
      <xdr:colOff>662940</xdr:colOff>
      <xdr:row>0</xdr:row>
      <xdr:rowOff>390525</xdr:rowOff>
    </xdr:from>
    <xdr:to>
      <xdr:col>0</xdr:col>
      <xdr:colOff>1367790</xdr:colOff>
      <xdr:row>1</xdr:row>
      <xdr:rowOff>443865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4E6B5F09-6CA1-4D6D-A6E1-7AF62A190863}"/>
            </a:ext>
          </a:extLst>
        </xdr:cNvPr>
        <xdr:cNvSpPr/>
      </xdr:nvSpPr>
      <xdr:spPr>
        <a:xfrm>
          <a:off x="662940" y="390525"/>
          <a:ext cx="704850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304800</xdr:colOff>
      <xdr:row>2</xdr:row>
      <xdr:rowOff>64770</xdr:rowOff>
    </xdr:from>
    <xdr:to>
      <xdr:col>0</xdr:col>
      <xdr:colOff>2034540</xdr:colOff>
      <xdr:row>3</xdr:row>
      <xdr:rowOff>87630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5B06D19A-BC91-0C62-681D-4E8A008F4B0E}"/>
            </a:ext>
          </a:extLst>
        </xdr:cNvPr>
        <xdr:cNvSpPr/>
      </xdr:nvSpPr>
      <xdr:spPr>
        <a:xfrm>
          <a:off x="304800" y="1122045"/>
          <a:ext cx="1729740" cy="37528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BEM</a:t>
          </a:r>
          <a:r>
            <a:rPr lang="pt-BR" sz="1200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VINDA  LADY </a:t>
          </a:r>
          <a:endParaRPr lang="pt-BR" sz="12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sat" refreshedDate="46050.426806134259" createdVersion="8" refreshedVersion="8" minRefreshableVersion="3" recordCount="295" xr:uid="{4619481D-A8A9-43F8-95B0-58CEA2D8058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068403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x v="0"/>
    <n v="20"/>
    <n v="5"/>
    <n v="60"/>
  </r>
  <r>
    <n v="3232"/>
    <x v="1"/>
    <x v="1"/>
    <d v="2024-01-15T00:00:00"/>
    <x v="1"/>
    <n v="5"/>
    <x v="1"/>
    <s v="No"/>
    <x v="1"/>
    <x v="1"/>
    <n v="0"/>
    <n v="0"/>
    <n v="5"/>
  </r>
  <r>
    <n v="3233"/>
    <x v="2"/>
    <x v="2"/>
    <d v="2024-02-10T00:00:00"/>
    <x v="0"/>
    <n v="10"/>
    <x v="2"/>
    <s v="No"/>
    <x v="1"/>
    <x v="0"/>
    <n v="20"/>
    <n v="10"/>
    <n v="20"/>
  </r>
  <r>
    <n v="3234"/>
    <x v="3"/>
    <x v="0"/>
    <d v="2024-02-20T00:00:00"/>
    <x v="1"/>
    <n v="15"/>
    <x v="0"/>
    <s v="Yes"/>
    <x v="0"/>
    <x v="0"/>
    <n v="20"/>
    <n v="3"/>
    <n v="62"/>
  </r>
  <r>
    <n v="3235"/>
    <x v="4"/>
    <x v="1"/>
    <d v="2024-03-05T00:00:00"/>
    <x v="0"/>
    <n v="5"/>
    <x v="0"/>
    <s v="No"/>
    <x v="1"/>
    <x v="1"/>
    <n v="0"/>
    <n v="1"/>
    <n v="4"/>
  </r>
  <r>
    <n v="3236"/>
    <x v="5"/>
    <x v="2"/>
    <d v="2024-03-02T00:00:00"/>
    <x v="1"/>
    <n v="10"/>
    <x v="0"/>
    <s v="No"/>
    <x v="1"/>
    <x v="0"/>
    <n v="20"/>
    <n v="2"/>
    <n v="28"/>
  </r>
  <r>
    <n v="3237"/>
    <x v="6"/>
    <x v="0"/>
    <d v="2024-03-03T00:00:00"/>
    <x v="0"/>
    <n v="15"/>
    <x v="2"/>
    <s v="Yes"/>
    <x v="0"/>
    <x v="0"/>
    <n v="20"/>
    <n v="10"/>
    <n v="55"/>
  </r>
  <r>
    <n v="3238"/>
    <x v="7"/>
    <x v="1"/>
    <d v="2024-03-04T00:00:00"/>
    <x v="0"/>
    <n v="5"/>
    <x v="1"/>
    <s v="No"/>
    <x v="1"/>
    <x v="1"/>
    <n v="0"/>
    <n v="0"/>
    <n v="5"/>
  </r>
  <r>
    <n v="3239"/>
    <x v="8"/>
    <x v="0"/>
    <d v="2024-03-05T00:00:00"/>
    <x v="1"/>
    <n v="15"/>
    <x v="0"/>
    <s v="Yes"/>
    <x v="0"/>
    <x v="0"/>
    <n v="20"/>
    <n v="5"/>
    <n v="60"/>
  </r>
  <r>
    <n v="3240"/>
    <x v="9"/>
    <x v="2"/>
    <d v="2024-03-06T00:00:00"/>
    <x v="0"/>
    <n v="10"/>
    <x v="2"/>
    <s v="No"/>
    <x v="1"/>
    <x v="0"/>
    <n v="20"/>
    <n v="15"/>
    <n v="15"/>
  </r>
  <r>
    <n v="3241"/>
    <x v="10"/>
    <x v="1"/>
    <d v="2024-03-07T00:00:00"/>
    <x v="1"/>
    <n v="5"/>
    <x v="0"/>
    <s v="No"/>
    <x v="1"/>
    <x v="1"/>
    <n v="0"/>
    <n v="1"/>
    <n v="4"/>
  </r>
  <r>
    <n v="3242"/>
    <x v="11"/>
    <x v="0"/>
    <d v="2024-03-08T00:00:00"/>
    <x v="0"/>
    <n v="15"/>
    <x v="1"/>
    <s v="Yes"/>
    <x v="0"/>
    <x v="0"/>
    <n v="20"/>
    <n v="20"/>
    <n v="45"/>
  </r>
  <r>
    <n v="3243"/>
    <x v="12"/>
    <x v="2"/>
    <d v="2024-03-09T00:00:00"/>
    <x v="1"/>
    <n v="10"/>
    <x v="0"/>
    <s v="No"/>
    <x v="1"/>
    <x v="0"/>
    <n v="20"/>
    <n v="10"/>
    <n v="20"/>
  </r>
  <r>
    <n v="3244"/>
    <x v="13"/>
    <x v="1"/>
    <d v="2024-03-10T00:00:00"/>
    <x v="0"/>
    <n v="5"/>
    <x v="2"/>
    <s v="No"/>
    <x v="1"/>
    <x v="1"/>
    <n v="0"/>
    <n v="0"/>
    <n v="5"/>
  </r>
  <r>
    <n v="3245"/>
    <x v="14"/>
    <x v="0"/>
    <d v="2024-03-11T00:00:00"/>
    <x v="1"/>
    <n v="15"/>
    <x v="0"/>
    <s v="Yes"/>
    <x v="0"/>
    <x v="0"/>
    <n v="20"/>
    <n v="8"/>
    <n v="57"/>
  </r>
  <r>
    <n v="3246"/>
    <x v="15"/>
    <x v="2"/>
    <d v="2024-03-12T00:00:00"/>
    <x v="0"/>
    <n v="10"/>
    <x v="1"/>
    <s v="No"/>
    <x v="1"/>
    <x v="0"/>
    <n v="20"/>
    <n v="12"/>
    <n v="18"/>
  </r>
  <r>
    <n v="3247"/>
    <x v="16"/>
    <x v="1"/>
    <d v="2024-03-13T00:00:00"/>
    <x v="1"/>
    <n v="5"/>
    <x v="0"/>
    <s v="No"/>
    <x v="1"/>
    <x v="1"/>
    <n v="0"/>
    <n v="2"/>
    <n v="3"/>
  </r>
  <r>
    <n v="3248"/>
    <x v="17"/>
    <x v="0"/>
    <d v="2024-03-14T00:00:00"/>
    <x v="0"/>
    <n v="15"/>
    <x v="2"/>
    <s v="Yes"/>
    <x v="0"/>
    <x v="0"/>
    <n v="20"/>
    <n v="7"/>
    <n v="58"/>
  </r>
  <r>
    <n v="3249"/>
    <x v="18"/>
    <x v="2"/>
    <d v="2024-03-15T00:00:00"/>
    <x v="1"/>
    <n v="10"/>
    <x v="0"/>
    <s v="No"/>
    <x v="1"/>
    <x v="0"/>
    <n v="20"/>
    <n v="5"/>
    <n v="25"/>
  </r>
  <r>
    <n v="3250"/>
    <x v="19"/>
    <x v="1"/>
    <d v="2024-03-16T00:00:00"/>
    <x v="0"/>
    <n v="5"/>
    <x v="1"/>
    <s v="No"/>
    <x v="1"/>
    <x v="1"/>
    <n v="0"/>
    <n v="0"/>
    <n v="5"/>
  </r>
  <r>
    <n v="3251"/>
    <x v="20"/>
    <x v="0"/>
    <d v="2024-03-17T00:00:00"/>
    <x v="1"/>
    <n v="15"/>
    <x v="0"/>
    <s v="Yes"/>
    <x v="0"/>
    <x v="0"/>
    <n v="20"/>
    <n v="3"/>
    <n v="62"/>
  </r>
  <r>
    <n v="3252"/>
    <x v="21"/>
    <x v="2"/>
    <d v="2024-03-18T00:00:00"/>
    <x v="0"/>
    <n v="10"/>
    <x v="2"/>
    <s v="No"/>
    <x v="1"/>
    <x v="0"/>
    <n v="20"/>
    <n v="15"/>
    <n v="15"/>
  </r>
  <r>
    <n v="3253"/>
    <x v="22"/>
    <x v="1"/>
    <d v="2024-03-19T00:00:00"/>
    <x v="1"/>
    <n v="5"/>
    <x v="0"/>
    <s v="No"/>
    <x v="1"/>
    <x v="1"/>
    <n v="0"/>
    <n v="1"/>
    <n v="4"/>
  </r>
  <r>
    <n v="3254"/>
    <x v="23"/>
    <x v="0"/>
    <d v="2024-03-20T00:00:00"/>
    <x v="0"/>
    <n v="15"/>
    <x v="1"/>
    <s v="Yes"/>
    <x v="0"/>
    <x v="0"/>
    <n v="20"/>
    <n v="20"/>
    <n v="45"/>
  </r>
  <r>
    <n v="3255"/>
    <x v="24"/>
    <x v="2"/>
    <d v="2024-03-21T00:00:00"/>
    <x v="1"/>
    <n v="10"/>
    <x v="0"/>
    <s v="No"/>
    <x v="1"/>
    <x v="0"/>
    <n v="20"/>
    <n v="10"/>
    <n v="20"/>
  </r>
  <r>
    <n v="3256"/>
    <x v="25"/>
    <x v="1"/>
    <d v="2024-03-22T00:00:00"/>
    <x v="0"/>
    <n v="5"/>
    <x v="2"/>
    <s v="No"/>
    <x v="1"/>
    <x v="1"/>
    <n v="0"/>
    <n v="0"/>
    <n v="5"/>
  </r>
  <r>
    <n v="3257"/>
    <x v="26"/>
    <x v="0"/>
    <d v="2024-03-23T00:00:00"/>
    <x v="1"/>
    <n v="15"/>
    <x v="0"/>
    <s v="Yes"/>
    <x v="0"/>
    <x v="0"/>
    <n v="20"/>
    <n v="5"/>
    <n v="60"/>
  </r>
  <r>
    <n v="3258"/>
    <x v="27"/>
    <x v="2"/>
    <d v="2024-03-24T00:00:00"/>
    <x v="0"/>
    <n v="10"/>
    <x v="1"/>
    <s v="No"/>
    <x v="1"/>
    <x v="0"/>
    <n v="20"/>
    <n v="15"/>
    <n v="15"/>
  </r>
  <r>
    <n v="3259"/>
    <x v="28"/>
    <x v="1"/>
    <d v="2024-03-25T00:00:00"/>
    <x v="1"/>
    <n v="5"/>
    <x v="0"/>
    <s v="No"/>
    <x v="1"/>
    <x v="1"/>
    <n v="0"/>
    <n v="1"/>
    <n v="4"/>
  </r>
  <r>
    <n v="3260"/>
    <x v="29"/>
    <x v="0"/>
    <d v="2024-03-26T00:00:00"/>
    <x v="0"/>
    <n v="15"/>
    <x v="2"/>
    <s v="Yes"/>
    <x v="0"/>
    <x v="0"/>
    <n v="20"/>
    <n v="7"/>
    <n v="58"/>
  </r>
  <r>
    <n v="3261"/>
    <x v="30"/>
    <x v="2"/>
    <d v="2024-03-27T00:00:00"/>
    <x v="1"/>
    <n v="10"/>
    <x v="0"/>
    <s v="No"/>
    <x v="1"/>
    <x v="0"/>
    <n v="20"/>
    <n v="10"/>
    <n v="20"/>
  </r>
  <r>
    <n v="3262"/>
    <x v="31"/>
    <x v="1"/>
    <d v="2024-03-28T00:00:00"/>
    <x v="0"/>
    <n v="5"/>
    <x v="1"/>
    <s v="No"/>
    <x v="1"/>
    <x v="1"/>
    <n v="0"/>
    <n v="0"/>
    <n v="5"/>
  </r>
  <r>
    <n v="3263"/>
    <x v="32"/>
    <x v="0"/>
    <d v="2024-03-29T00:00:00"/>
    <x v="1"/>
    <n v="15"/>
    <x v="0"/>
    <s v="Yes"/>
    <x v="0"/>
    <x v="0"/>
    <n v="20"/>
    <n v="3"/>
    <n v="62"/>
  </r>
  <r>
    <n v="3264"/>
    <x v="33"/>
    <x v="2"/>
    <d v="2024-03-30T00:00:00"/>
    <x v="0"/>
    <n v="10"/>
    <x v="2"/>
    <s v="No"/>
    <x v="1"/>
    <x v="0"/>
    <n v="20"/>
    <n v="15"/>
    <n v="15"/>
  </r>
  <r>
    <n v="3265"/>
    <x v="34"/>
    <x v="1"/>
    <d v="2024-03-31T00:00:00"/>
    <x v="1"/>
    <n v="5"/>
    <x v="0"/>
    <s v="No"/>
    <x v="1"/>
    <x v="1"/>
    <n v="0"/>
    <n v="1"/>
    <n v="4"/>
  </r>
  <r>
    <n v="3266"/>
    <x v="35"/>
    <x v="1"/>
    <d v="2024-04-01T00:00:00"/>
    <x v="0"/>
    <n v="5"/>
    <x v="0"/>
    <s v="No"/>
    <x v="1"/>
    <x v="1"/>
    <n v="0"/>
    <n v="0"/>
    <n v="5"/>
  </r>
  <r>
    <n v="3267"/>
    <x v="36"/>
    <x v="0"/>
    <d v="2024-04-02T00:00:00"/>
    <x v="1"/>
    <n v="15"/>
    <x v="2"/>
    <s v="Yes"/>
    <x v="0"/>
    <x v="0"/>
    <n v="20"/>
    <n v="7"/>
    <n v="58"/>
  </r>
  <r>
    <n v="3268"/>
    <x v="37"/>
    <x v="2"/>
    <d v="2024-04-03T00:00:00"/>
    <x v="0"/>
    <n v="10"/>
    <x v="1"/>
    <s v="No"/>
    <x v="1"/>
    <x v="0"/>
    <n v="20"/>
    <n v="10"/>
    <n v="20"/>
  </r>
  <r>
    <n v="3269"/>
    <x v="38"/>
    <x v="1"/>
    <d v="2024-04-04T00:00:00"/>
    <x v="1"/>
    <n v="5"/>
    <x v="2"/>
    <s v="No"/>
    <x v="1"/>
    <x v="1"/>
    <n v="0"/>
    <n v="1"/>
    <n v="4"/>
  </r>
  <r>
    <n v="3270"/>
    <x v="39"/>
    <x v="0"/>
    <d v="2024-04-05T00:00:00"/>
    <x v="0"/>
    <n v="15"/>
    <x v="0"/>
    <s v="Yes"/>
    <x v="0"/>
    <x v="0"/>
    <n v="20"/>
    <n v="15"/>
    <n v="50"/>
  </r>
  <r>
    <n v="3271"/>
    <x v="40"/>
    <x v="2"/>
    <d v="2024-04-06T00:00:00"/>
    <x v="1"/>
    <n v="10"/>
    <x v="0"/>
    <s v="No"/>
    <x v="1"/>
    <x v="0"/>
    <n v="20"/>
    <n v="5"/>
    <n v="25"/>
  </r>
  <r>
    <n v="3272"/>
    <x v="41"/>
    <x v="1"/>
    <d v="2024-04-07T00:00:00"/>
    <x v="0"/>
    <n v="5"/>
    <x v="1"/>
    <s v="No"/>
    <x v="1"/>
    <x v="1"/>
    <n v="0"/>
    <n v="0"/>
    <n v="5"/>
  </r>
  <r>
    <n v="3273"/>
    <x v="42"/>
    <x v="0"/>
    <d v="2024-04-08T00:00:00"/>
    <x v="1"/>
    <n v="15"/>
    <x v="2"/>
    <s v="Yes"/>
    <x v="0"/>
    <x v="0"/>
    <n v="20"/>
    <n v="20"/>
    <n v="45"/>
  </r>
  <r>
    <n v="3274"/>
    <x v="43"/>
    <x v="2"/>
    <d v="2024-04-09T00:00:00"/>
    <x v="0"/>
    <n v="10"/>
    <x v="2"/>
    <s v="No"/>
    <x v="1"/>
    <x v="0"/>
    <n v="20"/>
    <n v="12"/>
    <n v="18"/>
  </r>
  <r>
    <n v="3275"/>
    <x v="44"/>
    <x v="1"/>
    <d v="2024-04-10T00:00:00"/>
    <x v="1"/>
    <n v="5"/>
    <x v="0"/>
    <s v="No"/>
    <x v="1"/>
    <x v="1"/>
    <n v="0"/>
    <n v="2"/>
    <n v="3"/>
  </r>
  <r>
    <n v="3276"/>
    <x v="45"/>
    <x v="0"/>
    <d v="2024-04-11T00:00:00"/>
    <x v="0"/>
    <n v="15"/>
    <x v="1"/>
    <s v="Yes"/>
    <x v="0"/>
    <x v="0"/>
    <n v="20"/>
    <n v="5"/>
    <n v="60"/>
  </r>
  <r>
    <n v="3277"/>
    <x v="46"/>
    <x v="2"/>
    <d v="2024-04-12T00:00:00"/>
    <x v="1"/>
    <n v="10"/>
    <x v="0"/>
    <s v="No"/>
    <x v="1"/>
    <x v="0"/>
    <n v="20"/>
    <n v="10"/>
    <n v="20"/>
  </r>
  <r>
    <n v="3278"/>
    <x v="47"/>
    <x v="1"/>
    <d v="2024-04-13T00:00:00"/>
    <x v="0"/>
    <n v="5"/>
    <x v="2"/>
    <s v="No"/>
    <x v="1"/>
    <x v="1"/>
    <n v="0"/>
    <n v="0"/>
    <n v="5"/>
  </r>
  <r>
    <n v="3279"/>
    <x v="48"/>
    <x v="0"/>
    <d v="2024-04-14T00:00:00"/>
    <x v="1"/>
    <n v="15"/>
    <x v="0"/>
    <s v="Yes"/>
    <x v="0"/>
    <x v="0"/>
    <n v="20"/>
    <n v="3"/>
    <n v="62"/>
  </r>
  <r>
    <n v="3280"/>
    <x v="49"/>
    <x v="2"/>
    <d v="2024-04-15T00:00:00"/>
    <x v="0"/>
    <n v="10"/>
    <x v="1"/>
    <s v="No"/>
    <x v="1"/>
    <x v="0"/>
    <n v="20"/>
    <n v="15"/>
    <n v="15"/>
  </r>
  <r>
    <n v="3281"/>
    <x v="50"/>
    <x v="1"/>
    <d v="2024-04-16T00:00:00"/>
    <x v="1"/>
    <n v="5"/>
    <x v="0"/>
    <s v="No"/>
    <x v="1"/>
    <x v="1"/>
    <n v="0"/>
    <n v="1"/>
    <n v="4"/>
  </r>
  <r>
    <n v="3282"/>
    <x v="51"/>
    <x v="0"/>
    <d v="2024-04-17T00:00:00"/>
    <x v="0"/>
    <n v="15"/>
    <x v="2"/>
    <s v="Yes"/>
    <x v="0"/>
    <x v="0"/>
    <n v="20"/>
    <n v="7"/>
    <n v="58"/>
  </r>
  <r>
    <n v="3283"/>
    <x v="52"/>
    <x v="2"/>
    <d v="2024-04-18T00:00:00"/>
    <x v="1"/>
    <n v="10"/>
    <x v="0"/>
    <s v="No"/>
    <x v="1"/>
    <x v="0"/>
    <n v="20"/>
    <n v="10"/>
    <n v="20"/>
  </r>
  <r>
    <n v="3284"/>
    <x v="53"/>
    <x v="1"/>
    <d v="2024-04-19T00:00:00"/>
    <x v="0"/>
    <n v="5"/>
    <x v="1"/>
    <s v="No"/>
    <x v="1"/>
    <x v="1"/>
    <n v="0"/>
    <n v="0"/>
    <n v="5"/>
  </r>
  <r>
    <n v="3285"/>
    <x v="54"/>
    <x v="0"/>
    <d v="2024-04-20T00:00:00"/>
    <x v="1"/>
    <n v="15"/>
    <x v="0"/>
    <s v="Yes"/>
    <x v="0"/>
    <x v="0"/>
    <n v="20"/>
    <n v="20"/>
    <n v="45"/>
  </r>
  <r>
    <n v="3286"/>
    <x v="55"/>
    <x v="2"/>
    <d v="2024-04-21T00:00:00"/>
    <x v="0"/>
    <n v="10"/>
    <x v="2"/>
    <s v="No"/>
    <x v="1"/>
    <x v="0"/>
    <n v="20"/>
    <n v="15"/>
    <n v="15"/>
  </r>
  <r>
    <n v="3287"/>
    <x v="56"/>
    <x v="1"/>
    <d v="2024-04-22T00:00:00"/>
    <x v="1"/>
    <n v="5"/>
    <x v="0"/>
    <s v="No"/>
    <x v="1"/>
    <x v="1"/>
    <n v="0"/>
    <n v="1"/>
    <n v="4"/>
  </r>
  <r>
    <n v="3288"/>
    <x v="57"/>
    <x v="0"/>
    <d v="2024-04-23T00:00:00"/>
    <x v="0"/>
    <n v="15"/>
    <x v="1"/>
    <s v="Yes"/>
    <x v="0"/>
    <x v="0"/>
    <n v="20"/>
    <n v="3"/>
    <n v="62"/>
  </r>
  <r>
    <n v="3289"/>
    <x v="58"/>
    <x v="2"/>
    <d v="2024-04-24T00:00:00"/>
    <x v="1"/>
    <n v="10"/>
    <x v="0"/>
    <s v="No"/>
    <x v="1"/>
    <x v="0"/>
    <n v="20"/>
    <n v="10"/>
    <n v="20"/>
  </r>
  <r>
    <n v="3290"/>
    <x v="59"/>
    <x v="1"/>
    <d v="2024-04-25T00:00:00"/>
    <x v="0"/>
    <n v="5"/>
    <x v="2"/>
    <s v="No"/>
    <x v="1"/>
    <x v="1"/>
    <n v="0"/>
    <n v="0"/>
    <n v="5"/>
  </r>
  <r>
    <n v="3291"/>
    <x v="60"/>
    <x v="0"/>
    <d v="2024-04-26T00:00:00"/>
    <x v="1"/>
    <n v="15"/>
    <x v="0"/>
    <s v="Yes"/>
    <x v="0"/>
    <x v="0"/>
    <n v="20"/>
    <n v="5"/>
    <n v="60"/>
  </r>
  <r>
    <n v="3292"/>
    <x v="61"/>
    <x v="2"/>
    <d v="2024-04-27T00:00:00"/>
    <x v="0"/>
    <n v="10"/>
    <x v="1"/>
    <s v="No"/>
    <x v="1"/>
    <x v="0"/>
    <n v="20"/>
    <n v="15"/>
    <n v="15"/>
  </r>
  <r>
    <n v="3293"/>
    <x v="62"/>
    <x v="1"/>
    <d v="2024-04-28T00:00:00"/>
    <x v="1"/>
    <n v="5"/>
    <x v="0"/>
    <s v="No"/>
    <x v="1"/>
    <x v="1"/>
    <n v="0"/>
    <n v="1"/>
    <n v="4"/>
  </r>
  <r>
    <n v="3294"/>
    <x v="63"/>
    <x v="0"/>
    <d v="2024-04-29T00:00:00"/>
    <x v="0"/>
    <n v="15"/>
    <x v="2"/>
    <s v="Yes"/>
    <x v="0"/>
    <x v="0"/>
    <n v="20"/>
    <n v="20"/>
    <n v="45"/>
  </r>
  <r>
    <n v="3295"/>
    <x v="64"/>
    <x v="2"/>
    <d v="2024-04-30T00:00:00"/>
    <x v="1"/>
    <n v="10"/>
    <x v="0"/>
    <s v="No"/>
    <x v="1"/>
    <x v="0"/>
    <n v="20"/>
    <n v="5"/>
    <n v="25"/>
  </r>
  <r>
    <n v="3296"/>
    <x v="65"/>
    <x v="1"/>
    <d v="2024-05-01T00:00:00"/>
    <x v="1"/>
    <n v="5"/>
    <x v="0"/>
    <s v="No"/>
    <x v="1"/>
    <x v="1"/>
    <n v="0"/>
    <n v="0"/>
    <n v="5"/>
  </r>
  <r>
    <n v="3297"/>
    <x v="66"/>
    <x v="0"/>
    <d v="2024-05-02T00:00:00"/>
    <x v="0"/>
    <n v="15"/>
    <x v="2"/>
    <s v="Yes"/>
    <x v="0"/>
    <x v="0"/>
    <n v="20"/>
    <n v="7"/>
    <n v="58"/>
  </r>
  <r>
    <n v="3298"/>
    <x v="67"/>
    <x v="2"/>
    <d v="2024-05-03T00:00:00"/>
    <x v="1"/>
    <n v="10"/>
    <x v="1"/>
    <s v="No"/>
    <x v="1"/>
    <x v="0"/>
    <n v="20"/>
    <n v="10"/>
    <n v="20"/>
  </r>
  <r>
    <n v="3299"/>
    <x v="68"/>
    <x v="1"/>
    <d v="2024-05-04T00:00:00"/>
    <x v="0"/>
    <n v="5"/>
    <x v="2"/>
    <s v="No"/>
    <x v="1"/>
    <x v="1"/>
    <n v="0"/>
    <n v="1"/>
    <n v="4"/>
  </r>
  <r>
    <n v="3300"/>
    <x v="69"/>
    <x v="0"/>
    <d v="2024-05-05T00:00:00"/>
    <x v="1"/>
    <n v="15"/>
    <x v="0"/>
    <s v="Yes"/>
    <x v="0"/>
    <x v="0"/>
    <n v="20"/>
    <n v="15"/>
    <n v="50"/>
  </r>
  <r>
    <n v="3301"/>
    <x v="70"/>
    <x v="2"/>
    <d v="2024-05-06T00:00:00"/>
    <x v="0"/>
    <n v="10"/>
    <x v="0"/>
    <s v="No"/>
    <x v="1"/>
    <x v="0"/>
    <n v="20"/>
    <n v="5"/>
    <n v="25"/>
  </r>
  <r>
    <n v="3302"/>
    <x v="71"/>
    <x v="1"/>
    <d v="2024-05-07T00:00:00"/>
    <x v="1"/>
    <n v="5"/>
    <x v="1"/>
    <s v="No"/>
    <x v="1"/>
    <x v="1"/>
    <n v="0"/>
    <n v="0"/>
    <n v="5"/>
  </r>
  <r>
    <n v="3303"/>
    <x v="72"/>
    <x v="0"/>
    <d v="2024-05-08T00:00:00"/>
    <x v="0"/>
    <n v="15"/>
    <x v="2"/>
    <s v="Yes"/>
    <x v="0"/>
    <x v="0"/>
    <n v="20"/>
    <n v="20"/>
    <n v="45"/>
  </r>
  <r>
    <n v="3304"/>
    <x v="73"/>
    <x v="2"/>
    <d v="2024-05-09T00:00:00"/>
    <x v="1"/>
    <n v="10"/>
    <x v="2"/>
    <s v="No"/>
    <x v="1"/>
    <x v="0"/>
    <n v="20"/>
    <n v="12"/>
    <n v="18"/>
  </r>
  <r>
    <n v="3305"/>
    <x v="74"/>
    <x v="1"/>
    <d v="2024-05-10T00:00:00"/>
    <x v="0"/>
    <n v="5"/>
    <x v="0"/>
    <s v="No"/>
    <x v="1"/>
    <x v="1"/>
    <n v="0"/>
    <n v="2"/>
    <n v="3"/>
  </r>
  <r>
    <n v="3306"/>
    <x v="75"/>
    <x v="0"/>
    <d v="2024-05-11T00:00:00"/>
    <x v="1"/>
    <n v="15"/>
    <x v="1"/>
    <s v="Yes"/>
    <x v="0"/>
    <x v="0"/>
    <n v="20"/>
    <n v="5"/>
    <n v="60"/>
  </r>
  <r>
    <n v="3307"/>
    <x v="76"/>
    <x v="2"/>
    <d v="2024-05-12T00:00:00"/>
    <x v="0"/>
    <n v="10"/>
    <x v="0"/>
    <s v="No"/>
    <x v="1"/>
    <x v="0"/>
    <n v="20"/>
    <n v="10"/>
    <n v="20"/>
  </r>
  <r>
    <n v="3308"/>
    <x v="77"/>
    <x v="1"/>
    <d v="2024-05-13T00:00:00"/>
    <x v="1"/>
    <n v="5"/>
    <x v="2"/>
    <s v="No"/>
    <x v="1"/>
    <x v="1"/>
    <n v="0"/>
    <n v="0"/>
    <n v="5"/>
  </r>
  <r>
    <n v="3309"/>
    <x v="78"/>
    <x v="0"/>
    <d v="2024-05-14T00:00:00"/>
    <x v="0"/>
    <n v="15"/>
    <x v="0"/>
    <s v="Yes"/>
    <x v="0"/>
    <x v="0"/>
    <n v="20"/>
    <n v="3"/>
    <n v="62"/>
  </r>
  <r>
    <n v="3310"/>
    <x v="79"/>
    <x v="2"/>
    <d v="2024-05-15T00:00:00"/>
    <x v="1"/>
    <n v="10"/>
    <x v="1"/>
    <s v="No"/>
    <x v="1"/>
    <x v="0"/>
    <n v="20"/>
    <n v="15"/>
    <n v="15"/>
  </r>
  <r>
    <n v="3311"/>
    <x v="80"/>
    <x v="1"/>
    <d v="2024-05-16T00:00:00"/>
    <x v="0"/>
    <n v="5"/>
    <x v="0"/>
    <s v="No"/>
    <x v="1"/>
    <x v="1"/>
    <n v="0"/>
    <n v="1"/>
    <n v="4"/>
  </r>
  <r>
    <n v="3312"/>
    <x v="81"/>
    <x v="0"/>
    <d v="2024-05-17T00:00:00"/>
    <x v="1"/>
    <n v="15"/>
    <x v="2"/>
    <s v="Yes"/>
    <x v="0"/>
    <x v="0"/>
    <n v="20"/>
    <n v="7"/>
    <n v="58"/>
  </r>
  <r>
    <n v="3313"/>
    <x v="82"/>
    <x v="2"/>
    <d v="2024-05-18T00:00:00"/>
    <x v="0"/>
    <n v="10"/>
    <x v="0"/>
    <s v="No"/>
    <x v="1"/>
    <x v="0"/>
    <n v="20"/>
    <n v="10"/>
    <n v="20"/>
  </r>
  <r>
    <n v="3314"/>
    <x v="83"/>
    <x v="1"/>
    <d v="2024-05-19T00:00:00"/>
    <x v="1"/>
    <n v="5"/>
    <x v="1"/>
    <s v="No"/>
    <x v="1"/>
    <x v="1"/>
    <n v="0"/>
    <n v="0"/>
    <n v="5"/>
  </r>
  <r>
    <n v="3315"/>
    <x v="84"/>
    <x v="0"/>
    <d v="2024-05-20T00:00:00"/>
    <x v="0"/>
    <n v="15"/>
    <x v="0"/>
    <s v="Yes"/>
    <x v="0"/>
    <x v="0"/>
    <n v="20"/>
    <n v="20"/>
    <n v="45"/>
  </r>
  <r>
    <n v="3316"/>
    <x v="85"/>
    <x v="2"/>
    <d v="2024-05-21T00:00:00"/>
    <x v="1"/>
    <n v="10"/>
    <x v="2"/>
    <s v="No"/>
    <x v="1"/>
    <x v="0"/>
    <n v="20"/>
    <n v="15"/>
    <n v="15"/>
  </r>
  <r>
    <n v="3317"/>
    <x v="86"/>
    <x v="1"/>
    <d v="2024-05-22T00:00:00"/>
    <x v="0"/>
    <n v="5"/>
    <x v="0"/>
    <s v="No"/>
    <x v="1"/>
    <x v="1"/>
    <n v="0"/>
    <n v="1"/>
    <n v="4"/>
  </r>
  <r>
    <n v="3318"/>
    <x v="87"/>
    <x v="0"/>
    <d v="2024-05-23T00:00:00"/>
    <x v="1"/>
    <n v="15"/>
    <x v="1"/>
    <s v="Yes"/>
    <x v="0"/>
    <x v="0"/>
    <n v="20"/>
    <n v="3"/>
    <n v="62"/>
  </r>
  <r>
    <n v="3319"/>
    <x v="88"/>
    <x v="2"/>
    <d v="2024-05-24T00:00:00"/>
    <x v="0"/>
    <n v="10"/>
    <x v="0"/>
    <s v="No"/>
    <x v="1"/>
    <x v="0"/>
    <n v="20"/>
    <n v="10"/>
    <n v="20"/>
  </r>
  <r>
    <n v="3320"/>
    <x v="89"/>
    <x v="1"/>
    <d v="2024-05-25T00:00:00"/>
    <x v="1"/>
    <n v="5"/>
    <x v="2"/>
    <s v="No"/>
    <x v="1"/>
    <x v="1"/>
    <n v="0"/>
    <n v="0"/>
    <n v="5"/>
  </r>
  <r>
    <n v="3321"/>
    <x v="90"/>
    <x v="0"/>
    <d v="2024-05-26T00:00:00"/>
    <x v="0"/>
    <n v="15"/>
    <x v="0"/>
    <s v="Yes"/>
    <x v="0"/>
    <x v="0"/>
    <n v="20"/>
    <n v="5"/>
    <n v="60"/>
  </r>
  <r>
    <n v="3322"/>
    <x v="91"/>
    <x v="2"/>
    <d v="2024-05-27T00:00:00"/>
    <x v="1"/>
    <n v="10"/>
    <x v="1"/>
    <s v="No"/>
    <x v="1"/>
    <x v="0"/>
    <n v="20"/>
    <n v="15"/>
    <n v="15"/>
  </r>
  <r>
    <n v="3323"/>
    <x v="92"/>
    <x v="1"/>
    <d v="2024-05-28T00:00:00"/>
    <x v="0"/>
    <n v="5"/>
    <x v="0"/>
    <s v="No"/>
    <x v="1"/>
    <x v="1"/>
    <n v="0"/>
    <n v="1"/>
    <n v="4"/>
  </r>
  <r>
    <n v="3324"/>
    <x v="93"/>
    <x v="0"/>
    <d v="2024-05-29T00:00:00"/>
    <x v="1"/>
    <n v="15"/>
    <x v="2"/>
    <s v="Yes"/>
    <x v="0"/>
    <x v="0"/>
    <n v="20"/>
    <n v="20"/>
    <n v="45"/>
  </r>
  <r>
    <n v="3325"/>
    <x v="94"/>
    <x v="2"/>
    <d v="2024-05-30T00:00:00"/>
    <x v="0"/>
    <n v="10"/>
    <x v="2"/>
    <s v="No"/>
    <x v="1"/>
    <x v="0"/>
    <n v="20"/>
    <n v="15"/>
    <n v="15"/>
  </r>
  <r>
    <n v="3326"/>
    <x v="95"/>
    <x v="1"/>
    <d v="2024-05-31T00:00:00"/>
    <x v="1"/>
    <n v="5"/>
    <x v="1"/>
    <s v="No"/>
    <x v="1"/>
    <x v="1"/>
    <n v="0"/>
    <n v="0"/>
    <n v="5"/>
  </r>
  <r>
    <n v="3327"/>
    <x v="96"/>
    <x v="0"/>
    <d v="2024-06-01T00:00:00"/>
    <x v="0"/>
    <n v="15"/>
    <x v="0"/>
    <s v="Yes"/>
    <x v="0"/>
    <x v="0"/>
    <n v="20"/>
    <n v="7"/>
    <n v="58"/>
  </r>
  <r>
    <n v="3328"/>
    <x v="97"/>
    <x v="2"/>
    <d v="2024-06-02T00:00:00"/>
    <x v="1"/>
    <n v="10"/>
    <x v="1"/>
    <s v="No"/>
    <x v="1"/>
    <x v="0"/>
    <n v="20"/>
    <n v="10"/>
    <n v="20"/>
  </r>
  <r>
    <n v="3329"/>
    <x v="98"/>
    <x v="1"/>
    <d v="2024-06-03T00:00:00"/>
    <x v="0"/>
    <n v="5"/>
    <x v="2"/>
    <s v="No"/>
    <x v="1"/>
    <x v="1"/>
    <n v="0"/>
    <n v="1"/>
    <n v="4"/>
  </r>
  <r>
    <n v="3330"/>
    <x v="99"/>
    <x v="0"/>
    <d v="2024-06-04T00:00:00"/>
    <x v="1"/>
    <n v="15"/>
    <x v="0"/>
    <s v="Yes"/>
    <x v="0"/>
    <x v="0"/>
    <n v="20"/>
    <n v="15"/>
    <n v="50"/>
  </r>
  <r>
    <n v="3331"/>
    <x v="100"/>
    <x v="2"/>
    <d v="2024-06-05T00:00:00"/>
    <x v="0"/>
    <n v="10"/>
    <x v="0"/>
    <s v="No"/>
    <x v="1"/>
    <x v="0"/>
    <n v="20"/>
    <n v="5"/>
    <n v="25"/>
  </r>
  <r>
    <n v="3332"/>
    <x v="101"/>
    <x v="1"/>
    <d v="2024-06-06T00:00:00"/>
    <x v="1"/>
    <n v="5"/>
    <x v="1"/>
    <s v="No"/>
    <x v="1"/>
    <x v="1"/>
    <n v="0"/>
    <n v="0"/>
    <n v="5"/>
  </r>
  <r>
    <n v="3333"/>
    <x v="102"/>
    <x v="0"/>
    <d v="2024-06-07T00:00:00"/>
    <x v="0"/>
    <n v="15"/>
    <x v="2"/>
    <s v="Yes"/>
    <x v="0"/>
    <x v="0"/>
    <n v="20"/>
    <n v="20"/>
    <n v="45"/>
  </r>
  <r>
    <n v="3334"/>
    <x v="103"/>
    <x v="2"/>
    <d v="2024-06-08T00:00:00"/>
    <x v="1"/>
    <n v="10"/>
    <x v="2"/>
    <s v="No"/>
    <x v="1"/>
    <x v="0"/>
    <n v="20"/>
    <n v="12"/>
    <n v="18"/>
  </r>
  <r>
    <n v="3335"/>
    <x v="104"/>
    <x v="1"/>
    <d v="2024-06-09T00:00:00"/>
    <x v="0"/>
    <n v="5"/>
    <x v="0"/>
    <s v="No"/>
    <x v="1"/>
    <x v="1"/>
    <n v="0"/>
    <n v="2"/>
    <n v="3"/>
  </r>
  <r>
    <n v="3336"/>
    <x v="105"/>
    <x v="1"/>
    <d v="2024-06-10T00:00:00"/>
    <x v="0"/>
    <n v="5"/>
    <x v="0"/>
    <s v="No"/>
    <x v="1"/>
    <x v="1"/>
    <n v="0"/>
    <n v="0"/>
    <n v="5"/>
  </r>
  <r>
    <n v="3337"/>
    <x v="106"/>
    <x v="0"/>
    <d v="2024-06-11T00:00:00"/>
    <x v="1"/>
    <n v="15"/>
    <x v="2"/>
    <s v="Yes"/>
    <x v="0"/>
    <x v="0"/>
    <n v="20"/>
    <n v="7"/>
    <n v="58"/>
  </r>
  <r>
    <n v="3338"/>
    <x v="107"/>
    <x v="2"/>
    <d v="2024-06-12T00:00:00"/>
    <x v="0"/>
    <n v="10"/>
    <x v="1"/>
    <s v="No"/>
    <x v="1"/>
    <x v="0"/>
    <n v="20"/>
    <n v="10"/>
    <n v="20"/>
  </r>
  <r>
    <n v="3339"/>
    <x v="108"/>
    <x v="1"/>
    <d v="2024-06-13T00:00:00"/>
    <x v="1"/>
    <n v="5"/>
    <x v="2"/>
    <s v="No"/>
    <x v="1"/>
    <x v="1"/>
    <n v="0"/>
    <n v="1"/>
    <n v="4"/>
  </r>
  <r>
    <n v="3340"/>
    <x v="109"/>
    <x v="0"/>
    <d v="2024-06-14T00:00:00"/>
    <x v="0"/>
    <n v="15"/>
    <x v="0"/>
    <s v="Yes"/>
    <x v="0"/>
    <x v="0"/>
    <n v="20"/>
    <n v="15"/>
    <n v="50"/>
  </r>
  <r>
    <n v="3341"/>
    <x v="110"/>
    <x v="2"/>
    <d v="2024-06-15T00:00:00"/>
    <x v="1"/>
    <n v="10"/>
    <x v="0"/>
    <s v="No"/>
    <x v="1"/>
    <x v="0"/>
    <n v="20"/>
    <n v="5"/>
    <n v="25"/>
  </r>
  <r>
    <n v="3342"/>
    <x v="111"/>
    <x v="1"/>
    <d v="2024-06-16T00:00:00"/>
    <x v="0"/>
    <n v="5"/>
    <x v="1"/>
    <s v="No"/>
    <x v="1"/>
    <x v="1"/>
    <n v="0"/>
    <n v="0"/>
    <n v="5"/>
  </r>
  <r>
    <n v="3343"/>
    <x v="112"/>
    <x v="0"/>
    <d v="2024-06-17T00:00:00"/>
    <x v="1"/>
    <n v="15"/>
    <x v="2"/>
    <s v="Yes"/>
    <x v="0"/>
    <x v="0"/>
    <n v="20"/>
    <n v="20"/>
    <n v="45"/>
  </r>
  <r>
    <n v="3344"/>
    <x v="113"/>
    <x v="2"/>
    <d v="2024-06-18T00:00:00"/>
    <x v="0"/>
    <n v="10"/>
    <x v="2"/>
    <s v="No"/>
    <x v="1"/>
    <x v="0"/>
    <n v="20"/>
    <n v="12"/>
    <n v="18"/>
  </r>
  <r>
    <n v="3345"/>
    <x v="114"/>
    <x v="1"/>
    <d v="2024-06-19T00:00:00"/>
    <x v="1"/>
    <n v="5"/>
    <x v="0"/>
    <s v="No"/>
    <x v="1"/>
    <x v="1"/>
    <n v="0"/>
    <n v="2"/>
    <n v="3"/>
  </r>
  <r>
    <n v="3346"/>
    <x v="115"/>
    <x v="0"/>
    <d v="2024-06-20T00:00:00"/>
    <x v="0"/>
    <n v="15"/>
    <x v="1"/>
    <s v="Yes"/>
    <x v="0"/>
    <x v="0"/>
    <n v="20"/>
    <n v="5"/>
    <n v="60"/>
  </r>
  <r>
    <n v="3347"/>
    <x v="116"/>
    <x v="2"/>
    <d v="2024-06-21T00:00:00"/>
    <x v="1"/>
    <n v="10"/>
    <x v="0"/>
    <s v="No"/>
    <x v="1"/>
    <x v="0"/>
    <n v="20"/>
    <n v="10"/>
    <n v="20"/>
  </r>
  <r>
    <n v="3348"/>
    <x v="117"/>
    <x v="1"/>
    <d v="2024-06-22T00:00:00"/>
    <x v="0"/>
    <n v="5"/>
    <x v="2"/>
    <s v="No"/>
    <x v="1"/>
    <x v="1"/>
    <n v="0"/>
    <n v="0"/>
    <n v="5"/>
  </r>
  <r>
    <n v="3349"/>
    <x v="93"/>
    <x v="0"/>
    <d v="2024-06-23T00:00:00"/>
    <x v="1"/>
    <n v="15"/>
    <x v="0"/>
    <s v="Yes"/>
    <x v="0"/>
    <x v="0"/>
    <n v="20"/>
    <n v="3"/>
    <n v="62"/>
  </r>
  <r>
    <n v="3350"/>
    <x v="118"/>
    <x v="2"/>
    <d v="2024-06-24T00:00:00"/>
    <x v="0"/>
    <n v="10"/>
    <x v="1"/>
    <s v="No"/>
    <x v="1"/>
    <x v="0"/>
    <n v="20"/>
    <n v="15"/>
    <n v="15"/>
  </r>
  <r>
    <n v="3351"/>
    <x v="119"/>
    <x v="1"/>
    <d v="2024-06-25T00:00:00"/>
    <x v="1"/>
    <n v="5"/>
    <x v="0"/>
    <s v="No"/>
    <x v="1"/>
    <x v="1"/>
    <n v="0"/>
    <n v="1"/>
    <n v="4"/>
  </r>
  <r>
    <n v="3352"/>
    <x v="120"/>
    <x v="0"/>
    <d v="2024-06-26T00:00:00"/>
    <x v="0"/>
    <n v="15"/>
    <x v="2"/>
    <s v="Yes"/>
    <x v="0"/>
    <x v="0"/>
    <n v="20"/>
    <n v="7"/>
    <n v="58"/>
  </r>
  <r>
    <n v="3353"/>
    <x v="121"/>
    <x v="2"/>
    <d v="2024-06-27T00:00:00"/>
    <x v="1"/>
    <n v="10"/>
    <x v="0"/>
    <s v="No"/>
    <x v="1"/>
    <x v="0"/>
    <n v="20"/>
    <n v="10"/>
    <n v="20"/>
  </r>
  <r>
    <n v="3354"/>
    <x v="122"/>
    <x v="1"/>
    <d v="2024-06-28T00:00:00"/>
    <x v="0"/>
    <n v="5"/>
    <x v="1"/>
    <s v="No"/>
    <x v="1"/>
    <x v="1"/>
    <n v="0"/>
    <n v="0"/>
    <n v="5"/>
  </r>
  <r>
    <n v="3355"/>
    <x v="123"/>
    <x v="0"/>
    <d v="2024-06-29T00:00:00"/>
    <x v="1"/>
    <n v="15"/>
    <x v="0"/>
    <s v="Yes"/>
    <x v="0"/>
    <x v="0"/>
    <n v="20"/>
    <n v="20"/>
    <n v="45"/>
  </r>
  <r>
    <n v="3356"/>
    <x v="124"/>
    <x v="2"/>
    <d v="2024-06-30T00:00:00"/>
    <x v="0"/>
    <n v="10"/>
    <x v="2"/>
    <s v="No"/>
    <x v="1"/>
    <x v="0"/>
    <n v="20"/>
    <n v="15"/>
    <n v="15"/>
  </r>
  <r>
    <n v="3357"/>
    <x v="125"/>
    <x v="1"/>
    <d v="2024-07-01T00:00:00"/>
    <x v="1"/>
    <n v="5"/>
    <x v="0"/>
    <s v="No"/>
    <x v="1"/>
    <x v="1"/>
    <n v="0"/>
    <n v="1"/>
    <n v="4"/>
  </r>
  <r>
    <n v="3358"/>
    <x v="126"/>
    <x v="0"/>
    <d v="2024-07-02T00:00:00"/>
    <x v="0"/>
    <n v="15"/>
    <x v="1"/>
    <s v="Yes"/>
    <x v="0"/>
    <x v="0"/>
    <n v="20"/>
    <n v="3"/>
    <n v="62"/>
  </r>
  <r>
    <n v="3359"/>
    <x v="127"/>
    <x v="2"/>
    <d v="2024-07-03T00:00:00"/>
    <x v="1"/>
    <n v="10"/>
    <x v="0"/>
    <s v="No"/>
    <x v="1"/>
    <x v="0"/>
    <n v="20"/>
    <n v="10"/>
    <n v="20"/>
  </r>
  <r>
    <n v="3360"/>
    <x v="128"/>
    <x v="1"/>
    <d v="2024-07-04T00:00:00"/>
    <x v="0"/>
    <n v="5"/>
    <x v="2"/>
    <s v="No"/>
    <x v="1"/>
    <x v="1"/>
    <n v="0"/>
    <n v="0"/>
    <n v="5"/>
  </r>
  <r>
    <n v="3361"/>
    <x v="129"/>
    <x v="0"/>
    <d v="2024-07-05T00:00:00"/>
    <x v="1"/>
    <n v="15"/>
    <x v="0"/>
    <s v="Yes"/>
    <x v="0"/>
    <x v="0"/>
    <n v="20"/>
    <n v="15"/>
    <n v="50"/>
  </r>
  <r>
    <n v="3362"/>
    <x v="130"/>
    <x v="2"/>
    <d v="2024-07-06T00:00:00"/>
    <x v="0"/>
    <n v="10"/>
    <x v="1"/>
    <s v="No"/>
    <x v="1"/>
    <x v="0"/>
    <n v="20"/>
    <n v="15"/>
    <n v="15"/>
  </r>
  <r>
    <n v="3363"/>
    <x v="131"/>
    <x v="1"/>
    <d v="2024-07-07T00:00:00"/>
    <x v="1"/>
    <n v="5"/>
    <x v="0"/>
    <s v="No"/>
    <x v="1"/>
    <x v="1"/>
    <n v="0"/>
    <n v="1"/>
    <n v="4"/>
  </r>
  <r>
    <n v="3364"/>
    <x v="132"/>
    <x v="0"/>
    <d v="2024-07-08T00:00:00"/>
    <x v="0"/>
    <n v="15"/>
    <x v="2"/>
    <s v="Yes"/>
    <x v="0"/>
    <x v="0"/>
    <n v="20"/>
    <n v="7"/>
    <n v="58"/>
  </r>
  <r>
    <n v="3365"/>
    <x v="133"/>
    <x v="2"/>
    <d v="2024-07-09T00:00:00"/>
    <x v="1"/>
    <n v="10"/>
    <x v="0"/>
    <s v="No"/>
    <x v="1"/>
    <x v="0"/>
    <n v="20"/>
    <n v="10"/>
    <n v="20"/>
  </r>
  <r>
    <n v="3366"/>
    <x v="134"/>
    <x v="1"/>
    <d v="2024-07-10T00:00:00"/>
    <x v="0"/>
    <n v="5"/>
    <x v="0"/>
    <s v="No"/>
    <x v="1"/>
    <x v="1"/>
    <n v="0"/>
    <n v="0"/>
    <n v="5"/>
  </r>
  <r>
    <n v="3367"/>
    <x v="135"/>
    <x v="0"/>
    <d v="2024-07-11T00:00:00"/>
    <x v="1"/>
    <n v="15"/>
    <x v="2"/>
    <s v="Yes"/>
    <x v="0"/>
    <x v="0"/>
    <n v="20"/>
    <n v="7"/>
    <n v="58"/>
  </r>
  <r>
    <n v="3368"/>
    <x v="136"/>
    <x v="2"/>
    <d v="2024-07-12T00:00:00"/>
    <x v="0"/>
    <n v="10"/>
    <x v="1"/>
    <s v="No"/>
    <x v="1"/>
    <x v="0"/>
    <n v="20"/>
    <n v="10"/>
    <n v="20"/>
  </r>
  <r>
    <n v="3369"/>
    <x v="137"/>
    <x v="1"/>
    <d v="2024-07-13T00:00:00"/>
    <x v="1"/>
    <n v="5"/>
    <x v="2"/>
    <s v="No"/>
    <x v="1"/>
    <x v="1"/>
    <n v="0"/>
    <n v="1"/>
    <n v="4"/>
  </r>
  <r>
    <n v="3370"/>
    <x v="138"/>
    <x v="0"/>
    <d v="2024-07-14T00:00:00"/>
    <x v="0"/>
    <n v="15"/>
    <x v="0"/>
    <s v="Yes"/>
    <x v="0"/>
    <x v="0"/>
    <n v="20"/>
    <n v="15"/>
    <n v="50"/>
  </r>
  <r>
    <n v="3371"/>
    <x v="139"/>
    <x v="2"/>
    <d v="2024-07-15T00:00:00"/>
    <x v="1"/>
    <n v="10"/>
    <x v="0"/>
    <s v="No"/>
    <x v="1"/>
    <x v="0"/>
    <n v="20"/>
    <n v="5"/>
    <n v="25"/>
  </r>
  <r>
    <n v="3372"/>
    <x v="140"/>
    <x v="1"/>
    <d v="2024-07-16T00:00:00"/>
    <x v="0"/>
    <n v="5"/>
    <x v="1"/>
    <s v="No"/>
    <x v="1"/>
    <x v="1"/>
    <n v="0"/>
    <n v="0"/>
    <n v="5"/>
  </r>
  <r>
    <n v="3373"/>
    <x v="141"/>
    <x v="0"/>
    <d v="2024-07-17T00:00:00"/>
    <x v="1"/>
    <n v="15"/>
    <x v="2"/>
    <s v="Yes"/>
    <x v="0"/>
    <x v="0"/>
    <n v="20"/>
    <n v="20"/>
    <n v="45"/>
  </r>
  <r>
    <n v="3374"/>
    <x v="142"/>
    <x v="2"/>
    <d v="2024-07-18T00:00:00"/>
    <x v="0"/>
    <n v="10"/>
    <x v="2"/>
    <s v="No"/>
    <x v="1"/>
    <x v="0"/>
    <n v="20"/>
    <n v="12"/>
    <n v="18"/>
  </r>
  <r>
    <n v="3375"/>
    <x v="143"/>
    <x v="1"/>
    <d v="2024-07-19T00:00:00"/>
    <x v="1"/>
    <n v="5"/>
    <x v="0"/>
    <s v="No"/>
    <x v="1"/>
    <x v="1"/>
    <n v="0"/>
    <n v="2"/>
    <n v="3"/>
  </r>
  <r>
    <n v="3376"/>
    <x v="144"/>
    <x v="0"/>
    <d v="2024-07-20T00:00:00"/>
    <x v="0"/>
    <n v="15"/>
    <x v="1"/>
    <s v="Yes"/>
    <x v="0"/>
    <x v="0"/>
    <n v="20"/>
    <n v="5"/>
    <n v="60"/>
  </r>
  <r>
    <n v="3377"/>
    <x v="145"/>
    <x v="2"/>
    <d v="2024-07-21T00:00:00"/>
    <x v="1"/>
    <n v="10"/>
    <x v="0"/>
    <s v="No"/>
    <x v="1"/>
    <x v="0"/>
    <n v="20"/>
    <n v="10"/>
    <n v="20"/>
  </r>
  <r>
    <n v="3378"/>
    <x v="146"/>
    <x v="1"/>
    <d v="2024-07-22T00:00:00"/>
    <x v="0"/>
    <n v="5"/>
    <x v="2"/>
    <s v="No"/>
    <x v="1"/>
    <x v="1"/>
    <n v="0"/>
    <n v="0"/>
    <n v="5"/>
  </r>
  <r>
    <n v="3379"/>
    <x v="147"/>
    <x v="0"/>
    <d v="2024-07-23T00:00:00"/>
    <x v="1"/>
    <n v="15"/>
    <x v="0"/>
    <s v="Yes"/>
    <x v="0"/>
    <x v="0"/>
    <n v="20"/>
    <n v="3"/>
    <n v="62"/>
  </r>
  <r>
    <n v="3380"/>
    <x v="148"/>
    <x v="2"/>
    <d v="2024-07-24T00:00:00"/>
    <x v="0"/>
    <n v="10"/>
    <x v="1"/>
    <s v="No"/>
    <x v="1"/>
    <x v="0"/>
    <n v="20"/>
    <n v="15"/>
    <n v="15"/>
  </r>
  <r>
    <n v="3381"/>
    <x v="149"/>
    <x v="1"/>
    <d v="2024-07-25T00:00:00"/>
    <x v="1"/>
    <n v="5"/>
    <x v="0"/>
    <s v="No"/>
    <x v="1"/>
    <x v="1"/>
    <n v="0"/>
    <n v="1"/>
    <n v="4"/>
  </r>
  <r>
    <n v="3382"/>
    <x v="150"/>
    <x v="0"/>
    <d v="2024-07-26T00:00:00"/>
    <x v="0"/>
    <n v="15"/>
    <x v="2"/>
    <s v="Yes"/>
    <x v="0"/>
    <x v="0"/>
    <n v="20"/>
    <n v="7"/>
    <n v="58"/>
  </r>
  <r>
    <n v="3383"/>
    <x v="151"/>
    <x v="2"/>
    <d v="2024-07-27T00:00:00"/>
    <x v="1"/>
    <n v="10"/>
    <x v="0"/>
    <s v="No"/>
    <x v="1"/>
    <x v="0"/>
    <n v="20"/>
    <n v="10"/>
    <n v="20"/>
  </r>
  <r>
    <n v="3384"/>
    <x v="152"/>
    <x v="1"/>
    <d v="2024-07-28T00:00:00"/>
    <x v="0"/>
    <n v="5"/>
    <x v="1"/>
    <s v="No"/>
    <x v="1"/>
    <x v="1"/>
    <n v="0"/>
    <n v="0"/>
    <n v="5"/>
  </r>
  <r>
    <n v="3385"/>
    <x v="153"/>
    <x v="0"/>
    <d v="2024-07-29T00:00:00"/>
    <x v="1"/>
    <n v="15"/>
    <x v="0"/>
    <s v="Yes"/>
    <x v="0"/>
    <x v="0"/>
    <n v="20"/>
    <n v="20"/>
    <n v="45"/>
  </r>
  <r>
    <n v="3386"/>
    <x v="154"/>
    <x v="2"/>
    <d v="2024-07-30T00:00:00"/>
    <x v="0"/>
    <n v="10"/>
    <x v="2"/>
    <s v="No"/>
    <x v="1"/>
    <x v="0"/>
    <n v="20"/>
    <n v="15"/>
    <n v="15"/>
  </r>
  <r>
    <n v="3387"/>
    <x v="155"/>
    <x v="1"/>
    <d v="2024-07-31T00:00:00"/>
    <x v="1"/>
    <n v="5"/>
    <x v="0"/>
    <s v="No"/>
    <x v="1"/>
    <x v="1"/>
    <n v="0"/>
    <n v="1"/>
    <n v="4"/>
  </r>
  <r>
    <n v="3388"/>
    <x v="156"/>
    <x v="0"/>
    <d v="2024-08-01T00:00:00"/>
    <x v="0"/>
    <n v="15"/>
    <x v="1"/>
    <s v="Yes"/>
    <x v="0"/>
    <x v="0"/>
    <n v="20"/>
    <n v="3"/>
    <n v="62"/>
  </r>
  <r>
    <n v="3389"/>
    <x v="157"/>
    <x v="2"/>
    <d v="2024-08-02T00:00:00"/>
    <x v="1"/>
    <n v="10"/>
    <x v="0"/>
    <s v="No"/>
    <x v="1"/>
    <x v="0"/>
    <n v="20"/>
    <n v="10"/>
    <n v="20"/>
  </r>
  <r>
    <n v="3390"/>
    <x v="158"/>
    <x v="1"/>
    <d v="2024-08-03T00:00:00"/>
    <x v="0"/>
    <n v="5"/>
    <x v="2"/>
    <s v="No"/>
    <x v="1"/>
    <x v="1"/>
    <n v="0"/>
    <n v="0"/>
    <n v="5"/>
  </r>
  <r>
    <n v="3391"/>
    <x v="58"/>
    <x v="0"/>
    <d v="2024-08-04T00:00:00"/>
    <x v="1"/>
    <n v="15"/>
    <x v="0"/>
    <s v="Yes"/>
    <x v="0"/>
    <x v="0"/>
    <n v="20"/>
    <n v="15"/>
    <n v="50"/>
  </r>
  <r>
    <n v="3392"/>
    <x v="159"/>
    <x v="2"/>
    <d v="2024-08-05T00:00:00"/>
    <x v="0"/>
    <n v="10"/>
    <x v="1"/>
    <s v="No"/>
    <x v="1"/>
    <x v="0"/>
    <n v="20"/>
    <n v="15"/>
    <n v="15"/>
  </r>
  <r>
    <n v="3393"/>
    <x v="160"/>
    <x v="1"/>
    <d v="2024-08-06T00:00:00"/>
    <x v="1"/>
    <n v="5"/>
    <x v="0"/>
    <s v="No"/>
    <x v="1"/>
    <x v="1"/>
    <n v="0"/>
    <n v="1"/>
    <n v="4"/>
  </r>
  <r>
    <n v="3394"/>
    <x v="161"/>
    <x v="0"/>
    <d v="2024-08-07T00:00:00"/>
    <x v="0"/>
    <n v="15"/>
    <x v="2"/>
    <s v="Yes"/>
    <x v="0"/>
    <x v="0"/>
    <n v="20"/>
    <n v="7"/>
    <n v="58"/>
  </r>
  <r>
    <n v="3395"/>
    <x v="162"/>
    <x v="2"/>
    <d v="2024-08-08T00:00:00"/>
    <x v="1"/>
    <n v="10"/>
    <x v="0"/>
    <s v="No"/>
    <x v="1"/>
    <x v="0"/>
    <n v="20"/>
    <n v="10"/>
    <n v="20"/>
  </r>
  <r>
    <n v="3396"/>
    <x v="163"/>
    <x v="1"/>
    <d v="2024-08-09T00:00:00"/>
    <x v="0"/>
    <n v="5"/>
    <x v="1"/>
    <s v="No"/>
    <x v="1"/>
    <x v="1"/>
    <n v="0"/>
    <n v="0"/>
    <n v="5"/>
  </r>
  <r>
    <n v="3397"/>
    <x v="90"/>
    <x v="0"/>
    <d v="2024-08-10T00:00:00"/>
    <x v="1"/>
    <n v="15"/>
    <x v="0"/>
    <s v="Yes"/>
    <x v="0"/>
    <x v="0"/>
    <n v="20"/>
    <n v="20"/>
    <n v="45"/>
  </r>
  <r>
    <n v="3398"/>
    <x v="164"/>
    <x v="2"/>
    <d v="2024-08-11T00:00:00"/>
    <x v="0"/>
    <n v="10"/>
    <x v="2"/>
    <s v="No"/>
    <x v="1"/>
    <x v="0"/>
    <n v="20"/>
    <n v="15"/>
    <n v="15"/>
  </r>
  <r>
    <n v="3399"/>
    <x v="165"/>
    <x v="1"/>
    <d v="2024-08-12T00:00:00"/>
    <x v="1"/>
    <n v="5"/>
    <x v="0"/>
    <s v="No"/>
    <x v="1"/>
    <x v="1"/>
    <n v="0"/>
    <n v="1"/>
    <n v="4"/>
  </r>
  <r>
    <n v="3400"/>
    <x v="166"/>
    <x v="0"/>
    <d v="2024-08-13T00:00:00"/>
    <x v="0"/>
    <n v="15"/>
    <x v="1"/>
    <s v="Yes"/>
    <x v="0"/>
    <x v="0"/>
    <n v="20"/>
    <n v="5"/>
    <n v="60"/>
  </r>
  <r>
    <n v="3401"/>
    <x v="167"/>
    <x v="2"/>
    <d v="2024-08-14T00:00:00"/>
    <x v="1"/>
    <n v="10"/>
    <x v="0"/>
    <s v="No"/>
    <x v="1"/>
    <x v="0"/>
    <n v="20"/>
    <n v="10"/>
    <n v="20"/>
  </r>
  <r>
    <n v="3402"/>
    <x v="168"/>
    <x v="1"/>
    <d v="2024-08-15T00:00:00"/>
    <x v="0"/>
    <n v="5"/>
    <x v="2"/>
    <s v="No"/>
    <x v="1"/>
    <x v="1"/>
    <n v="0"/>
    <n v="0"/>
    <n v="5"/>
  </r>
  <r>
    <n v="3403"/>
    <x v="169"/>
    <x v="0"/>
    <d v="2024-08-16T00:00:00"/>
    <x v="1"/>
    <n v="15"/>
    <x v="0"/>
    <s v="Yes"/>
    <x v="0"/>
    <x v="0"/>
    <n v="20"/>
    <n v="3"/>
    <n v="62"/>
  </r>
  <r>
    <n v="3404"/>
    <x v="170"/>
    <x v="2"/>
    <d v="2024-08-17T00:00:00"/>
    <x v="0"/>
    <n v="10"/>
    <x v="1"/>
    <s v="No"/>
    <x v="1"/>
    <x v="0"/>
    <n v="20"/>
    <n v="15"/>
    <n v="15"/>
  </r>
  <r>
    <n v="3405"/>
    <x v="171"/>
    <x v="1"/>
    <d v="2024-08-18T00:00:00"/>
    <x v="1"/>
    <n v="5"/>
    <x v="0"/>
    <s v="No"/>
    <x v="1"/>
    <x v="1"/>
    <n v="0"/>
    <n v="1"/>
    <n v="4"/>
  </r>
  <r>
    <n v="3406"/>
    <x v="172"/>
    <x v="1"/>
    <d v="2024-08-19T00:00:00"/>
    <x v="0"/>
    <n v="5"/>
    <x v="0"/>
    <s v="No"/>
    <x v="1"/>
    <x v="1"/>
    <n v="0"/>
    <n v="0"/>
    <n v="5"/>
  </r>
  <r>
    <n v="3407"/>
    <x v="173"/>
    <x v="0"/>
    <d v="2024-08-20T00:00:00"/>
    <x v="1"/>
    <n v="15"/>
    <x v="2"/>
    <s v="Yes"/>
    <x v="0"/>
    <x v="0"/>
    <n v="20"/>
    <n v="7"/>
    <n v="58"/>
  </r>
  <r>
    <n v="3408"/>
    <x v="174"/>
    <x v="2"/>
    <d v="2024-08-21T00:00:00"/>
    <x v="0"/>
    <n v="10"/>
    <x v="1"/>
    <s v="No"/>
    <x v="1"/>
    <x v="0"/>
    <n v="20"/>
    <n v="10"/>
    <n v="20"/>
  </r>
  <r>
    <n v="3409"/>
    <x v="175"/>
    <x v="1"/>
    <d v="2024-08-22T00:00:00"/>
    <x v="1"/>
    <n v="5"/>
    <x v="2"/>
    <s v="No"/>
    <x v="1"/>
    <x v="1"/>
    <n v="0"/>
    <n v="1"/>
    <n v="4"/>
  </r>
  <r>
    <n v="3410"/>
    <x v="176"/>
    <x v="0"/>
    <d v="2024-08-23T00:00:00"/>
    <x v="0"/>
    <n v="15"/>
    <x v="0"/>
    <s v="Yes"/>
    <x v="0"/>
    <x v="0"/>
    <n v="20"/>
    <n v="15"/>
    <n v="50"/>
  </r>
  <r>
    <n v="3411"/>
    <x v="177"/>
    <x v="2"/>
    <d v="2024-08-24T00:00:00"/>
    <x v="1"/>
    <n v="10"/>
    <x v="0"/>
    <s v="No"/>
    <x v="1"/>
    <x v="0"/>
    <n v="20"/>
    <n v="5"/>
    <n v="25"/>
  </r>
  <r>
    <n v="3412"/>
    <x v="178"/>
    <x v="1"/>
    <d v="2024-08-25T00:00:00"/>
    <x v="0"/>
    <n v="5"/>
    <x v="1"/>
    <s v="No"/>
    <x v="1"/>
    <x v="1"/>
    <n v="0"/>
    <n v="0"/>
    <n v="5"/>
  </r>
  <r>
    <n v="3413"/>
    <x v="179"/>
    <x v="0"/>
    <d v="2024-08-26T00:00:00"/>
    <x v="1"/>
    <n v="15"/>
    <x v="2"/>
    <s v="Yes"/>
    <x v="0"/>
    <x v="0"/>
    <n v="20"/>
    <n v="20"/>
    <n v="45"/>
  </r>
  <r>
    <n v="3414"/>
    <x v="180"/>
    <x v="2"/>
    <d v="2024-08-27T00:00:00"/>
    <x v="0"/>
    <n v="10"/>
    <x v="2"/>
    <s v="No"/>
    <x v="1"/>
    <x v="0"/>
    <n v="20"/>
    <n v="12"/>
    <n v="18"/>
  </r>
  <r>
    <n v="3415"/>
    <x v="181"/>
    <x v="1"/>
    <d v="2024-08-28T00:00:00"/>
    <x v="1"/>
    <n v="5"/>
    <x v="0"/>
    <s v="No"/>
    <x v="1"/>
    <x v="1"/>
    <n v="0"/>
    <n v="2"/>
    <n v="3"/>
  </r>
  <r>
    <n v="3416"/>
    <x v="182"/>
    <x v="0"/>
    <d v="2024-08-29T00:00:00"/>
    <x v="0"/>
    <n v="15"/>
    <x v="1"/>
    <s v="Yes"/>
    <x v="0"/>
    <x v="0"/>
    <n v="20"/>
    <n v="5"/>
    <n v="60"/>
  </r>
  <r>
    <n v="3417"/>
    <x v="183"/>
    <x v="2"/>
    <d v="2024-08-30T00:00:00"/>
    <x v="1"/>
    <n v="10"/>
    <x v="0"/>
    <s v="No"/>
    <x v="1"/>
    <x v="0"/>
    <n v="20"/>
    <n v="10"/>
    <n v="20"/>
  </r>
  <r>
    <n v="3418"/>
    <x v="184"/>
    <x v="1"/>
    <d v="2024-08-31T00:00:00"/>
    <x v="0"/>
    <n v="5"/>
    <x v="2"/>
    <s v="No"/>
    <x v="1"/>
    <x v="1"/>
    <n v="0"/>
    <n v="0"/>
    <n v="5"/>
  </r>
  <r>
    <n v="3419"/>
    <x v="185"/>
    <x v="0"/>
    <d v="2024-09-01T00:00:00"/>
    <x v="1"/>
    <n v="15"/>
    <x v="0"/>
    <s v="Yes"/>
    <x v="0"/>
    <x v="0"/>
    <n v="20"/>
    <n v="3"/>
    <n v="62"/>
  </r>
  <r>
    <n v="3420"/>
    <x v="186"/>
    <x v="2"/>
    <d v="2024-09-02T00:00:00"/>
    <x v="0"/>
    <n v="10"/>
    <x v="1"/>
    <s v="No"/>
    <x v="1"/>
    <x v="0"/>
    <n v="20"/>
    <n v="15"/>
    <n v="15"/>
  </r>
  <r>
    <n v="3421"/>
    <x v="15"/>
    <x v="1"/>
    <d v="2024-09-03T00:00:00"/>
    <x v="1"/>
    <n v="5"/>
    <x v="0"/>
    <s v="No"/>
    <x v="1"/>
    <x v="1"/>
    <n v="0"/>
    <n v="1"/>
    <n v="4"/>
  </r>
  <r>
    <n v="3422"/>
    <x v="187"/>
    <x v="0"/>
    <d v="2024-09-04T00:00:00"/>
    <x v="0"/>
    <n v="15"/>
    <x v="2"/>
    <s v="Yes"/>
    <x v="0"/>
    <x v="0"/>
    <n v="20"/>
    <n v="7"/>
    <n v="58"/>
  </r>
  <r>
    <n v="3423"/>
    <x v="188"/>
    <x v="2"/>
    <d v="2024-09-05T00:00:00"/>
    <x v="1"/>
    <n v="10"/>
    <x v="0"/>
    <s v="No"/>
    <x v="1"/>
    <x v="0"/>
    <n v="20"/>
    <n v="10"/>
    <n v="20"/>
  </r>
  <r>
    <n v="3424"/>
    <x v="14"/>
    <x v="1"/>
    <d v="2024-09-06T00:00:00"/>
    <x v="0"/>
    <n v="5"/>
    <x v="1"/>
    <s v="No"/>
    <x v="1"/>
    <x v="1"/>
    <n v="0"/>
    <n v="0"/>
    <n v="5"/>
  </r>
  <r>
    <n v="3425"/>
    <x v="189"/>
    <x v="0"/>
    <d v="2024-09-07T00:00:00"/>
    <x v="1"/>
    <n v="15"/>
    <x v="0"/>
    <s v="Yes"/>
    <x v="0"/>
    <x v="0"/>
    <n v="20"/>
    <n v="20"/>
    <n v="45"/>
  </r>
  <r>
    <n v="3426"/>
    <x v="167"/>
    <x v="2"/>
    <d v="2024-09-08T00:00:00"/>
    <x v="0"/>
    <n v="10"/>
    <x v="2"/>
    <s v="No"/>
    <x v="1"/>
    <x v="0"/>
    <n v="20"/>
    <n v="15"/>
    <n v="15"/>
  </r>
  <r>
    <n v="3427"/>
    <x v="190"/>
    <x v="1"/>
    <d v="2024-09-09T00:00:00"/>
    <x v="1"/>
    <n v="5"/>
    <x v="0"/>
    <s v="No"/>
    <x v="1"/>
    <x v="1"/>
    <n v="0"/>
    <n v="1"/>
    <n v="4"/>
  </r>
  <r>
    <n v="3428"/>
    <x v="191"/>
    <x v="0"/>
    <d v="2024-09-10T00:00:00"/>
    <x v="0"/>
    <n v="15"/>
    <x v="1"/>
    <s v="Yes"/>
    <x v="0"/>
    <x v="0"/>
    <n v="20"/>
    <n v="3"/>
    <n v="62"/>
  </r>
  <r>
    <n v="3429"/>
    <x v="192"/>
    <x v="2"/>
    <d v="2024-09-11T00:00:00"/>
    <x v="1"/>
    <n v="10"/>
    <x v="0"/>
    <s v="No"/>
    <x v="1"/>
    <x v="0"/>
    <n v="20"/>
    <n v="10"/>
    <n v="20"/>
  </r>
  <r>
    <n v="3430"/>
    <x v="193"/>
    <x v="1"/>
    <d v="2024-09-12T00:00:00"/>
    <x v="0"/>
    <n v="5"/>
    <x v="2"/>
    <s v="No"/>
    <x v="1"/>
    <x v="1"/>
    <n v="0"/>
    <n v="0"/>
    <n v="5"/>
  </r>
  <r>
    <n v="3431"/>
    <x v="194"/>
    <x v="0"/>
    <d v="2024-09-13T00:00:00"/>
    <x v="1"/>
    <n v="15"/>
    <x v="0"/>
    <s v="Yes"/>
    <x v="0"/>
    <x v="0"/>
    <n v="20"/>
    <n v="15"/>
    <n v="50"/>
  </r>
  <r>
    <n v="3432"/>
    <x v="195"/>
    <x v="2"/>
    <d v="2024-09-14T00:00:00"/>
    <x v="0"/>
    <n v="10"/>
    <x v="1"/>
    <s v="No"/>
    <x v="1"/>
    <x v="0"/>
    <n v="20"/>
    <n v="15"/>
    <n v="15"/>
  </r>
  <r>
    <n v="3433"/>
    <x v="196"/>
    <x v="1"/>
    <d v="2024-09-15T00:00:00"/>
    <x v="1"/>
    <n v="5"/>
    <x v="0"/>
    <s v="No"/>
    <x v="1"/>
    <x v="1"/>
    <n v="0"/>
    <n v="1"/>
    <n v="4"/>
  </r>
  <r>
    <n v="3434"/>
    <x v="197"/>
    <x v="0"/>
    <d v="2024-09-16T00:00:00"/>
    <x v="0"/>
    <n v="15"/>
    <x v="2"/>
    <s v="Yes"/>
    <x v="0"/>
    <x v="0"/>
    <n v="20"/>
    <n v="7"/>
    <n v="58"/>
  </r>
  <r>
    <n v="3435"/>
    <x v="198"/>
    <x v="2"/>
    <d v="2024-09-17T00:00:00"/>
    <x v="1"/>
    <n v="10"/>
    <x v="0"/>
    <s v="No"/>
    <x v="1"/>
    <x v="0"/>
    <n v="20"/>
    <n v="10"/>
    <n v="20"/>
  </r>
  <r>
    <n v="3436"/>
    <x v="199"/>
    <x v="1"/>
    <d v="2024-09-18T00:00:00"/>
    <x v="0"/>
    <n v="5"/>
    <x v="0"/>
    <s v="No"/>
    <x v="1"/>
    <x v="1"/>
    <n v="0"/>
    <n v="0"/>
    <n v="5"/>
  </r>
  <r>
    <n v="3437"/>
    <x v="200"/>
    <x v="0"/>
    <d v="2024-09-19T00:00:00"/>
    <x v="1"/>
    <n v="15"/>
    <x v="2"/>
    <s v="Yes"/>
    <x v="0"/>
    <x v="0"/>
    <n v="20"/>
    <n v="7"/>
    <n v="58"/>
  </r>
  <r>
    <n v="3438"/>
    <x v="201"/>
    <x v="2"/>
    <d v="2024-09-20T00:00:00"/>
    <x v="0"/>
    <n v="10"/>
    <x v="1"/>
    <s v="No"/>
    <x v="1"/>
    <x v="0"/>
    <n v="20"/>
    <n v="10"/>
    <n v="20"/>
  </r>
  <r>
    <n v="3439"/>
    <x v="202"/>
    <x v="1"/>
    <d v="2024-09-21T00:00:00"/>
    <x v="1"/>
    <n v="5"/>
    <x v="2"/>
    <s v="No"/>
    <x v="1"/>
    <x v="1"/>
    <n v="0"/>
    <n v="1"/>
    <n v="4"/>
  </r>
  <r>
    <n v="3440"/>
    <x v="203"/>
    <x v="0"/>
    <d v="2024-09-22T00:00:00"/>
    <x v="0"/>
    <n v="15"/>
    <x v="0"/>
    <s v="Yes"/>
    <x v="0"/>
    <x v="0"/>
    <n v="20"/>
    <n v="15"/>
    <n v="50"/>
  </r>
  <r>
    <n v="3441"/>
    <x v="204"/>
    <x v="2"/>
    <d v="2024-09-23T00:00:00"/>
    <x v="1"/>
    <n v="10"/>
    <x v="0"/>
    <s v="No"/>
    <x v="1"/>
    <x v="0"/>
    <n v="20"/>
    <n v="5"/>
    <n v="25"/>
  </r>
  <r>
    <n v="3442"/>
    <x v="205"/>
    <x v="1"/>
    <d v="2024-09-24T00:00:00"/>
    <x v="0"/>
    <n v="5"/>
    <x v="1"/>
    <s v="No"/>
    <x v="1"/>
    <x v="1"/>
    <n v="0"/>
    <n v="0"/>
    <n v="5"/>
  </r>
  <r>
    <n v="3443"/>
    <x v="206"/>
    <x v="0"/>
    <d v="2024-09-25T00:00:00"/>
    <x v="1"/>
    <n v="15"/>
    <x v="2"/>
    <s v="Yes"/>
    <x v="0"/>
    <x v="0"/>
    <n v="20"/>
    <n v="20"/>
    <n v="45"/>
  </r>
  <r>
    <n v="3444"/>
    <x v="207"/>
    <x v="2"/>
    <d v="2024-09-26T00:00:00"/>
    <x v="0"/>
    <n v="10"/>
    <x v="2"/>
    <s v="No"/>
    <x v="1"/>
    <x v="0"/>
    <n v="20"/>
    <n v="12"/>
    <n v="18"/>
  </r>
  <r>
    <n v="3445"/>
    <x v="37"/>
    <x v="1"/>
    <d v="2024-09-27T00:00:00"/>
    <x v="1"/>
    <n v="5"/>
    <x v="0"/>
    <s v="No"/>
    <x v="1"/>
    <x v="1"/>
    <n v="0"/>
    <n v="2"/>
    <n v="3"/>
  </r>
  <r>
    <n v="3446"/>
    <x v="208"/>
    <x v="0"/>
    <d v="2024-09-28T00:00:00"/>
    <x v="0"/>
    <n v="15"/>
    <x v="1"/>
    <s v="Yes"/>
    <x v="0"/>
    <x v="0"/>
    <n v="20"/>
    <n v="5"/>
    <n v="60"/>
  </r>
  <r>
    <n v="3447"/>
    <x v="209"/>
    <x v="2"/>
    <d v="2024-09-29T00:00:00"/>
    <x v="1"/>
    <n v="10"/>
    <x v="0"/>
    <s v="No"/>
    <x v="1"/>
    <x v="0"/>
    <n v="20"/>
    <n v="10"/>
    <n v="20"/>
  </r>
  <r>
    <n v="3448"/>
    <x v="210"/>
    <x v="1"/>
    <d v="2024-09-30T00:00:00"/>
    <x v="0"/>
    <n v="5"/>
    <x v="2"/>
    <s v="No"/>
    <x v="1"/>
    <x v="1"/>
    <n v="0"/>
    <n v="0"/>
    <n v="5"/>
  </r>
  <r>
    <n v="3449"/>
    <x v="211"/>
    <x v="0"/>
    <d v="2024-10-01T00:00:00"/>
    <x v="1"/>
    <n v="15"/>
    <x v="0"/>
    <s v="Yes"/>
    <x v="0"/>
    <x v="0"/>
    <n v="20"/>
    <n v="3"/>
    <n v="62"/>
  </r>
  <r>
    <n v="3450"/>
    <x v="212"/>
    <x v="2"/>
    <d v="2024-10-02T00:00:00"/>
    <x v="0"/>
    <n v="10"/>
    <x v="1"/>
    <s v="No"/>
    <x v="1"/>
    <x v="0"/>
    <n v="20"/>
    <n v="15"/>
    <n v="15"/>
  </r>
  <r>
    <n v="3451"/>
    <x v="213"/>
    <x v="1"/>
    <d v="2024-10-03T00:00:00"/>
    <x v="1"/>
    <n v="5"/>
    <x v="0"/>
    <s v="No"/>
    <x v="1"/>
    <x v="1"/>
    <n v="0"/>
    <n v="1"/>
    <n v="4"/>
  </r>
  <r>
    <n v="3452"/>
    <x v="191"/>
    <x v="0"/>
    <d v="2024-10-04T00:00:00"/>
    <x v="0"/>
    <n v="15"/>
    <x v="2"/>
    <s v="Yes"/>
    <x v="0"/>
    <x v="0"/>
    <n v="20"/>
    <n v="7"/>
    <n v="58"/>
  </r>
  <r>
    <n v="3453"/>
    <x v="45"/>
    <x v="2"/>
    <d v="2024-10-05T00:00:00"/>
    <x v="1"/>
    <n v="10"/>
    <x v="0"/>
    <s v="No"/>
    <x v="1"/>
    <x v="0"/>
    <n v="20"/>
    <n v="10"/>
    <n v="20"/>
  </r>
  <r>
    <n v="3454"/>
    <x v="214"/>
    <x v="1"/>
    <d v="2024-10-06T00:00:00"/>
    <x v="0"/>
    <n v="5"/>
    <x v="1"/>
    <s v="No"/>
    <x v="1"/>
    <x v="1"/>
    <n v="0"/>
    <n v="0"/>
    <n v="5"/>
  </r>
  <r>
    <n v="3455"/>
    <x v="215"/>
    <x v="0"/>
    <d v="2024-10-07T00:00:00"/>
    <x v="1"/>
    <n v="15"/>
    <x v="0"/>
    <s v="Yes"/>
    <x v="0"/>
    <x v="0"/>
    <n v="20"/>
    <n v="20"/>
    <n v="45"/>
  </r>
  <r>
    <n v="3456"/>
    <x v="216"/>
    <x v="2"/>
    <d v="2024-10-08T00:00:00"/>
    <x v="0"/>
    <n v="10"/>
    <x v="2"/>
    <s v="No"/>
    <x v="1"/>
    <x v="0"/>
    <n v="20"/>
    <n v="15"/>
    <n v="15"/>
  </r>
  <r>
    <n v="3457"/>
    <x v="217"/>
    <x v="1"/>
    <d v="2024-10-09T00:00:00"/>
    <x v="1"/>
    <n v="5"/>
    <x v="0"/>
    <s v="No"/>
    <x v="1"/>
    <x v="1"/>
    <n v="0"/>
    <n v="1"/>
    <n v="4"/>
  </r>
  <r>
    <n v="3458"/>
    <x v="218"/>
    <x v="0"/>
    <d v="2024-10-10T00:00:00"/>
    <x v="0"/>
    <n v="15"/>
    <x v="1"/>
    <s v="Yes"/>
    <x v="0"/>
    <x v="0"/>
    <n v="20"/>
    <n v="3"/>
    <n v="62"/>
  </r>
  <r>
    <n v="3459"/>
    <x v="219"/>
    <x v="2"/>
    <d v="2024-10-11T00:00:00"/>
    <x v="1"/>
    <n v="10"/>
    <x v="0"/>
    <s v="No"/>
    <x v="1"/>
    <x v="0"/>
    <n v="20"/>
    <n v="10"/>
    <n v="20"/>
  </r>
  <r>
    <n v="3460"/>
    <x v="127"/>
    <x v="1"/>
    <d v="2024-10-12T00:00:00"/>
    <x v="0"/>
    <n v="5"/>
    <x v="2"/>
    <s v="No"/>
    <x v="1"/>
    <x v="1"/>
    <n v="0"/>
    <n v="0"/>
    <n v="5"/>
  </r>
  <r>
    <n v="3461"/>
    <x v="220"/>
    <x v="0"/>
    <d v="2024-10-13T00:00:00"/>
    <x v="1"/>
    <n v="15"/>
    <x v="0"/>
    <s v="Yes"/>
    <x v="0"/>
    <x v="0"/>
    <n v="20"/>
    <n v="15"/>
    <n v="50"/>
  </r>
  <r>
    <n v="3462"/>
    <x v="221"/>
    <x v="2"/>
    <d v="2024-10-14T00:00:00"/>
    <x v="0"/>
    <n v="10"/>
    <x v="1"/>
    <s v="No"/>
    <x v="1"/>
    <x v="0"/>
    <n v="20"/>
    <n v="15"/>
    <n v="15"/>
  </r>
  <r>
    <n v="3463"/>
    <x v="222"/>
    <x v="1"/>
    <d v="2024-10-15T00:00:00"/>
    <x v="1"/>
    <n v="5"/>
    <x v="0"/>
    <s v="No"/>
    <x v="1"/>
    <x v="1"/>
    <n v="0"/>
    <n v="1"/>
    <n v="4"/>
  </r>
  <r>
    <n v="3464"/>
    <x v="223"/>
    <x v="0"/>
    <d v="2024-10-16T00:00:00"/>
    <x v="0"/>
    <n v="15"/>
    <x v="2"/>
    <s v="Yes"/>
    <x v="0"/>
    <x v="0"/>
    <n v="20"/>
    <n v="7"/>
    <n v="58"/>
  </r>
  <r>
    <n v="3465"/>
    <x v="224"/>
    <x v="2"/>
    <d v="2024-10-17T00:00:00"/>
    <x v="1"/>
    <n v="10"/>
    <x v="0"/>
    <s v="No"/>
    <x v="1"/>
    <x v="0"/>
    <n v="20"/>
    <n v="10"/>
    <n v="20"/>
  </r>
  <r>
    <n v="3466"/>
    <x v="225"/>
    <x v="1"/>
    <d v="2024-10-18T00:00:00"/>
    <x v="0"/>
    <n v="5"/>
    <x v="1"/>
    <s v="No"/>
    <x v="1"/>
    <x v="1"/>
    <n v="0"/>
    <n v="0"/>
    <n v="5"/>
  </r>
  <r>
    <n v="3467"/>
    <x v="226"/>
    <x v="0"/>
    <d v="2024-10-19T00:00:00"/>
    <x v="1"/>
    <n v="15"/>
    <x v="0"/>
    <s v="Yes"/>
    <x v="0"/>
    <x v="0"/>
    <n v="20"/>
    <n v="15"/>
    <n v="50"/>
  </r>
  <r>
    <n v="3468"/>
    <x v="227"/>
    <x v="2"/>
    <d v="2024-10-20T00:00:00"/>
    <x v="0"/>
    <n v="10"/>
    <x v="2"/>
    <s v="No"/>
    <x v="1"/>
    <x v="0"/>
    <n v="20"/>
    <n v="12"/>
    <n v="18"/>
  </r>
  <r>
    <n v="3469"/>
    <x v="228"/>
    <x v="1"/>
    <d v="2024-10-21T00:00:00"/>
    <x v="1"/>
    <n v="5"/>
    <x v="0"/>
    <s v="No"/>
    <x v="1"/>
    <x v="1"/>
    <n v="0"/>
    <n v="2"/>
    <n v="3"/>
  </r>
  <r>
    <n v="3470"/>
    <x v="229"/>
    <x v="0"/>
    <d v="2024-10-22T00:00:00"/>
    <x v="0"/>
    <n v="15"/>
    <x v="1"/>
    <s v="Yes"/>
    <x v="0"/>
    <x v="0"/>
    <n v="20"/>
    <n v="5"/>
    <n v="60"/>
  </r>
  <r>
    <n v="3471"/>
    <x v="230"/>
    <x v="2"/>
    <d v="2024-10-23T00:00:00"/>
    <x v="1"/>
    <n v="10"/>
    <x v="0"/>
    <s v="No"/>
    <x v="1"/>
    <x v="0"/>
    <n v="20"/>
    <n v="10"/>
    <n v="20"/>
  </r>
  <r>
    <n v="3472"/>
    <x v="231"/>
    <x v="1"/>
    <d v="2024-10-24T00:00:00"/>
    <x v="0"/>
    <n v="5"/>
    <x v="2"/>
    <s v="No"/>
    <x v="1"/>
    <x v="1"/>
    <n v="0"/>
    <n v="0"/>
    <n v="5"/>
  </r>
  <r>
    <n v="3473"/>
    <x v="140"/>
    <x v="0"/>
    <d v="2024-10-25T00:00:00"/>
    <x v="1"/>
    <n v="15"/>
    <x v="0"/>
    <s v="Yes"/>
    <x v="0"/>
    <x v="0"/>
    <n v="20"/>
    <n v="3"/>
    <n v="62"/>
  </r>
  <r>
    <n v="3474"/>
    <x v="232"/>
    <x v="2"/>
    <d v="2024-10-26T00:00:00"/>
    <x v="0"/>
    <n v="10"/>
    <x v="1"/>
    <s v="No"/>
    <x v="1"/>
    <x v="0"/>
    <n v="20"/>
    <n v="15"/>
    <n v="15"/>
  </r>
  <r>
    <n v="3475"/>
    <x v="233"/>
    <x v="1"/>
    <d v="2024-10-27T00:00:00"/>
    <x v="1"/>
    <n v="5"/>
    <x v="0"/>
    <s v="No"/>
    <x v="1"/>
    <x v="1"/>
    <n v="0"/>
    <n v="1"/>
    <n v="4"/>
  </r>
  <r>
    <n v="3476"/>
    <x v="234"/>
    <x v="0"/>
    <d v="2024-10-28T00:00:00"/>
    <x v="0"/>
    <n v="15"/>
    <x v="2"/>
    <s v="Yes"/>
    <x v="0"/>
    <x v="0"/>
    <n v="20"/>
    <n v="7"/>
    <n v="58"/>
  </r>
  <r>
    <n v="3477"/>
    <x v="235"/>
    <x v="2"/>
    <d v="2024-10-29T00:00:00"/>
    <x v="1"/>
    <n v="10"/>
    <x v="0"/>
    <s v="No"/>
    <x v="1"/>
    <x v="0"/>
    <n v="20"/>
    <n v="10"/>
    <n v="20"/>
  </r>
  <r>
    <n v="3478"/>
    <x v="236"/>
    <x v="1"/>
    <d v="2024-10-30T00:00:00"/>
    <x v="0"/>
    <n v="5"/>
    <x v="1"/>
    <s v="No"/>
    <x v="1"/>
    <x v="1"/>
    <n v="0"/>
    <n v="0"/>
    <n v="5"/>
  </r>
  <r>
    <n v="3479"/>
    <x v="237"/>
    <x v="0"/>
    <d v="2024-10-31T00:00:00"/>
    <x v="1"/>
    <n v="15"/>
    <x v="0"/>
    <s v="Yes"/>
    <x v="0"/>
    <x v="0"/>
    <n v="20"/>
    <n v="20"/>
    <n v="45"/>
  </r>
  <r>
    <n v="3480"/>
    <x v="238"/>
    <x v="2"/>
    <d v="2024-11-01T00:00:00"/>
    <x v="0"/>
    <n v="10"/>
    <x v="2"/>
    <s v="No"/>
    <x v="1"/>
    <x v="0"/>
    <n v="20"/>
    <n v="15"/>
    <n v="15"/>
  </r>
  <r>
    <n v="3481"/>
    <x v="239"/>
    <x v="1"/>
    <d v="2024-11-02T00:00:00"/>
    <x v="1"/>
    <n v="5"/>
    <x v="0"/>
    <s v="No"/>
    <x v="1"/>
    <x v="1"/>
    <n v="0"/>
    <n v="1"/>
    <n v="4"/>
  </r>
  <r>
    <n v="3482"/>
    <x v="240"/>
    <x v="0"/>
    <d v="2024-11-03T00:00:00"/>
    <x v="0"/>
    <n v="15"/>
    <x v="1"/>
    <s v="Yes"/>
    <x v="0"/>
    <x v="0"/>
    <n v="20"/>
    <n v="3"/>
    <n v="62"/>
  </r>
  <r>
    <n v="3483"/>
    <x v="241"/>
    <x v="2"/>
    <d v="2024-11-04T00:00:00"/>
    <x v="1"/>
    <n v="10"/>
    <x v="0"/>
    <s v="No"/>
    <x v="1"/>
    <x v="0"/>
    <n v="20"/>
    <n v="10"/>
    <n v="20"/>
  </r>
  <r>
    <n v="3484"/>
    <x v="242"/>
    <x v="1"/>
    <d v="2024-11-05T00:00:00"/>
    <x v="0"/>
    <n v="5"/>
    <x v="2"/>
    <s v="No"/>
    <x v="1"/>
    <x v="1"/>
    <n v="0"/>
    <n v="0"/>
    <n v="5"/>
  </r>
  <r>
    <n v="3485"/>
    <x v="243"/>
    <x v="0"/>
    <d v="2024-11-06T00:00:00"/>
    <x v="1"/>
    <n v="15"/>
    <x v="0"/>
    <s v="Yes"/>
    <x v="0"/>
    <x v="0"/>
    <n v="20"/>
    <n v="15"/>
    <n v="50"/>
  </r>
  <r>
    <n v="3486"/>
    <x v="244"/>
    <x v="1"/>
    <d v="2024-11-07T00:00:00"/>
    <x v="0"/>
    <n v="5"/>
    <x v="0"/>
    <s v="No"/>
    <x v="1"/>
    <x v="1"/>
    <n v="0"/>
    <n v="0"/>
    <n v="5"/>
  </r>
  <r>
    <n v="3487"/>
    <x v="245"/>
    <x v="0"/>
    <d v="2024-11-08T00:00:00"/>
    <x v="1"/>
    <n v="15"/>
    <x v="2"/>
    <s v="Yes"/>
    <x v="0"/>
    <x v="0"/>
    <n v="20"/>
    <n v="7"/>
    <n v="58"/>
  </r>
  <r>
    <n v="3488"/>
    <x v="246"/>
    <x v="2"/>
    <d v="2024-11-09T00:00:00"/>
    <x v="0"/>
    <n v="10"/>
    <x v="1"/>
    <s v="No"/>
    <x v="1"/>
    <x v="0"/>
    <n v="20"/>
    <n v="10"/>
    <n v="20"/>
  </r>
  <r>
    <n v="3489"/>
    <x v="247"/>
    <x v="1"/>
    <d v="2024-11-10T00:00:00"/>
    <x v="1"/>
    <n v="5"/>
    <x v="2"/>
    <s v="No"/>
    <x v="1"/>
    <x v="1"/>
    <n v="0"/>
    <n v="1"/>
    <n v="4"/>
  </r>
  <r>
    <n v="3490"/>
    <x v="248"/>
    <x v="0"/>
    <d v="2024-11-11T00:00:00"/>
    <x v="0"/>
    <n v="15"/>
    <x v="0"/>
    <s v="Yes"/>
    <x v="0"/>
    <x v="0"/>
    <n v="20"/>
    <n v="15"/>
    <n v="50"/>
  </r>
  <r>
    <n v="3491"/>
    <x v="249"/>
    <x v="2"/>
    <d v="2024-11-12T00:00:00"/>
    <x v="1"/>
    <n v="10"/>
    <x v="0"/>
    <s v="No"/>
    <x v="1"/>
    <x v="0"/>
    <n v="20"/>
    <n v="5"/>
    <n v="25"/>
  </r>
  <r>
    <n v="3492"/>
    <x v="250"/>
    <x v="1"/>
    <d v="2024-11-13T00:00:00"/>
    <x v="0"/>
    <n v="5"/>
    <x v="1"/>
    <s v="No"/>
    <x v="1"/>
    <x v="1"/>
    <n v="0"/>
    <n v="0"/>
    <n v="5"/>
  </r>
  <r>
    <n v="3493"/>
    <x v="251"/>
    <x v="0"/>
    <d v="2024-11-14T00:00:00"/>
    <x v="1"/>
    <n v="15"/>
    <x v="2"/>
    <s v="Yes"/>
    <x v="0"/>
    <x v="0"/>
    <n v="20"/>
    <n v="20"/>
    <n v="45"/>
  </r>
  <r>
    <n v="3494"/>
    <x v="252"/>
    <x v="2"/>
    <d v="2024-11-15T00:00:00"/>
    <x v="0"/>
    <n v="10"/>
    <x v="2"/>
    <s v="No"/>
    <x v="1"/>
    <x v="0"/>
    <n v="20"/>
    <n v="12"/>
    <n v="18"/>
  </r>
  <r>
    <n v="3495"/>
    <x v="253"/>
    <x v="1"/>
    <d v="2024-11-16T00:00:00"/>
    <x v="1"/>
    <n v="5"/>
    <x v="0"/>
    <s v="No"/>
    <x v="1"/>
    <x v="1"/>
    <n v="0"/>
    <n v="2"/>
    <n v="3"/>
  </r>
  <r>
    <n v="3496"/>
    <x v="254"/>
    <x v="0"/>
    <d v="2024-11-17T00:00:00"/>
    <x v="0"/>
    <n v="15"/>
    <x v="1"/>
    <s v="Yes"/>
    <x v="0"/>
    <x v="0"/>
    <n v="20"/>
    <n v="5"/>
    <n v="60"/>
  </r>
  <r>
    <n v="3497"/>
    <x v="255"/>
    <x v="2"/>
    <d v="2024-11-18T00:00:00"/>
    <x v="1"/>
    <n v="10"/>
    <x v="0"/>
    <s v="No"/>
    <x v="1"/>
    <x v="0"/>
    <n v="20"/>
    <n v="10"/>
    <n v="20"/>
  </r>
  <r>
    <n v="3498"/>
    <x v="256"/>
    <x v="1"/>
    <d v="2024-11-19T00:00:00"/>
    <x v="0"/>
    <n v="5"/>
    <x v="2"/>
    <s v="No"/>
    <x v="1"/>
    <x v="1"/>
    <n v="0"/>
    <n v="0"/>
    <n v="5"/>
  </r>
  <r>
    <n v="3499"/>
    <x v="257"/>
    <x v="0"/>
    <d v="2024-11-20T00:00:00"/>
    <x v="1"/>
    <n v="15"/>
    <x v="0"/>
    <s v="Yes"/>
    <x v="0"/>
    <x v="0"/>
    <n v="20"/>
    <n v="3"/>
    <n v="62"/>
  </r>
  <r>
    <n v="3500"/>
    <x v="258"/>
    <x v="2"/>
    <d v="2024-11-21T00:00:00"/>
    <x v="0"/>
    <n v="10"/>
    <x v="1"/>
    <s v="No"/>
    <x v="1"/>
    <x v="0"/>
    <n v="20"/>
    <n v="15"/>
    <n v="15"/>
  </r>
  <r>
    <n v="3501"/>
    <x v="259"/>
    <x v="1"/>
    <d v="2024-11-22T00:00:00"/>
    <x v="1"/>
    <n v="5"/>
    <x v="0"/>
    <s v="No"/>
    <x v="1"/>
    <x v="1"/>
    <n v="0"/>
    <n v="1"/>
    <n v="4"/>
  </r>
  <r>
    <n v="3502"/>
    <x v="260"/>
    <x v="0"/>
    <d v="2024-11-23T00:00:00"/>
    <x v="0"/>
    <n v="15"/>
    <x v="2"/>
    <s v="Yes"/>
    <x v="0"/>
    <x v="0"/>
    <n v="20"/>
    <n v="7"/>
    <n v="58"/>
  </r>
  <r>
    <n v="3503"/>
    <x v="119"/>
    <x v="2"/>
    <d v="2024-11-24T00:00:00"/>
    <x v="1"/>
    <n v="10"/>
    <x v="0"/>
    <s v="No"/>
    <x v="1"/>
    <x v="0"/>
    <n v="20"/>
    <n v="10"/>
    <n v="20"/>
  </r>
  <r>
    <n v="3504"/>
    <x v="261"/>
    <x v="1"/>
    <d v="2024-11-25T00:00:00"/>
    <x v="0"/>
    <n v="5"/>
    <x v="1"/>
    <s v="No"/>
    <x v="1"/>
    <x v="1"/>
    <n v="0"/>
    <n v="0"/>
    <n v="5"/>
  </r>
  <r>
    <n v="3505"/>
    <x v="262"/>
    <x v="0"/>
    <d v="2024-11-26T00:00:00"/>
    <x v="1"/>
    <n v="15"/>
    <x v="0"/>
    <s v="Yes"/>
    <x v="0"/>
    <x v="0"/>
    <n v="20"/>
    <n v="20"/>
    <n v="45"/>
  </r>
  <r>
    <n v="3506"/>
    <x v="263"/>
    <x v="2"/>
    <d v="2024-11-27T00:00:00"/>
    <x v="0"/>
    <n v="10"/>
    <x v="2"/>
    <s v="No"/>
    <x v="1"/>
    <x v="0"/>
    <n v="20"/>
    <n v="15"/>
    <n v="15"/>
  </r>
  <r>
    <n v="3507"/>
    <x v="264"/>
    <x v="1"/>
    <d v="2024-11-28T00:00:00"/>
    <x v="1"/>
    <n v="5"/>
    <x v="0"/>
    <s v="No"/>
    <x v="1"/>
    <x v="1"/>
    <n v="0"/>
    <n v="1"/>
    <n v="4"/>
  </r>
  <r>
    <n v="3508"/>
    <x v="265"/>
    <x v="0"/>
    <d v="2024-11-29T00:00:00"/>
    <x v="0"/>
    <n v="15"/>
    <x v="1"/>
    <s v="Yes"/>
    <x v="0"/>
    <x v="0"/>
    <n v="20"/>
    <n v="3"/>
    <n v="62"/>
  </r>
  <r>
    <n v="3509"/>
    <x v="266"/>
    <x v="2"/>
    <d v="2024-11-30T00:00:00"/>
    <x v="1"/>
    <n v="10"/>
    <x v="0"/>
    <s v="No"/>
    <x v="1"/>
    <x v="0"/>
    <n v="20"/>
    <n v="10"/>
    <n v="20"/>
  </r>
  <r>
    <n v="3510"/>
    <x v="267"/>
    <x v="1"/>
    <d v="2024-12-01T00:00:00"/>
    <x v="0"/>
    <n v="5"/>
    <x v="2"/>
    <s v="No"/>
    <x v="1"/>
    <x v="1"/>
    <n v="0"/>
    <n v="0"/>
    <n v="5"/>
  </r>
  <r>
    <n v="3511"/>
    <x v="268"/>
    <x v="0"/>
    <d v="2024-12-02T00:00:00"/>
    <x v="1"/>
    <n v="15"/>
    <x v="0"/>
    <s v="Yes"/>
    <x v="0"/>
    <x v="0"/>
    <n v="20"/>
    <n v="15"/>
    <n v="50"/>
  </r>
  <r>
    <n v="3512"/>
    <x v="269"/>
    <x v="2"/>
    <d v="2024-12-03T00:00:00"/>
    <x v="0"/>
    <n v="10"/>
    <x v="1"/>
    <s v="No"/>
    <x v="1"/>
    <x v="0"/>
    <n v="20"/>
    <n v="15"/>
    <n v="15"/>
  </r>
  <r>
    <n v="3513"/>
    <x v="270"/>
    <x v="1"/>
    <d v="2024-12-04T00:00:00"/>
    <x v="1"/>
    <n v="5"/>
    <x v="0"/>
    <s v="No"/>
    <x v="1"/>
    <x v="1"/>
    <n v="0"/>
    <n v="1"/>
    <n v="4"/>
  </r>
  <r>
    <n v="3514"/>
    <x v="271"/>
    <x v="0"/>
    <d v="2024-12-05T00:00:00"/>
    <x v="0"/>
    <n v="15"/>
    <x v="2"/>
    <s v="Yes"/>
    <x v="0"/>
    <x v="0"/>
    <n v="20"/>
    <n v="7"/>
    <n v="58"/>
  </r>
  <r>
    <n v="3515"/>
    <x v="130"/>
    <x v="2"/>
    <d v="2024-12-06T00:00:00"/>
    <x v="1"/>
    <n v="10"/>
    <x v="0"/>
    <s v="No"/>
    <x v="1"/>
    <x v="0"/>
    <n v="20"/>
    <n v="10"/>
    <n v="20"/>
  </r>
  <r>
    <n v="3516"/>
    <x v="131"/>
    <x v="1"/>
    <d v="2024-12-07T00:00:00"/>
    <x v="0"/>
    <n v="5"/>
    <x v="1"/>
    <s v="No"/>
    <x v="1"/>
    <x v="1"/>
    <n v="0"/>
    <n v="0"/>
    <n v="5"/>
  </r>
  <r>
    <n v="3517"/>
    <x v="181"/>
    <x v="0"/>
    <d v="2024-12-08T00:00:00"/>
    <x v="1"/>
    <n v="15"/>
    <x v="0"/>
    <s v="Yes"/>
    <x v="0"/>
    <x v="0"/>
    <n v="20"/>
    <n v="20"/>
    <n v="45"/>
  </r>
  <r>
    <n v="3518"/>
    <x v="272"/>
    <x v="2"/>
    <d v="2024-12-09T00:00:00"/>
    <x v="0"/>
    <n v="10"/>
    <x v="2"/>
    <s v="No"/>
    <x v="1"/>
    <x v="0"/>
    <n v="20"/>
    <n v="12"/>
    <n v="18"/>
  </r>
  <r>
    <n v="3519"/>
    <x v="273"/>
    <x v="1"/>
    <d v="2024-12-10T00:00:00"/>
    <x v="1"/>
    <n v="5"/>
    <x v="0"/>
    <s v="No"/>
    <x v="1"/>
    <x v="1"/>
    <n v="0"/>
    <n v="2"/>
    <n v="3"/>
  </r>
  <r>
    <n v="3520"/>
    <x v="274"/>
    <x v="0"/>
    <d v="2024-12-11T00:00:00"/>
    <x v="0"/>
    <n v="15"/>
    <x v="1"/>
    <s v="Yes"/>
    <x v="0"/>
    <x v="0"/>
    <n v="20"/>
    <n v="5"/>
    <n v="60"/>
  </r>
  <r>
    <n v="3521"/>
    <x v="275"/>
    <x v="2"/>
    <d v="2024-12-12T00:00:00"/>
    <x v="1"/>
    <n v="10"/>
    <x v="0"/>
    <s v="No"/>
    <x v="1"/>
    <x v="0"/>
    <n v="20"/>
    <n v="10"/>
    <n v="20"/>
  </r>
  <r>
    <n v="3522"/>
    <x v="276"/>
    <x v="1"/>
    <d v="2024-12-13T00:00:00"/>
    <x v="0"/>
    <n v="5"/>
    <x v="2"/>
    <s v="No"/>
    <x v="1"/>
    <x v="1"/>
    <n v="0"/>
    <n v="0"/>
    <n v="5"/>
  </r>
  <r>
    <n v="3523"/>
    <x v="277"/>
    <x v="0"/>
    <d v="2024-12-14T00:00:00"/>
    <x v="1"/>
    <n v="15"/>
    <x v="0"/>
    <s v="Yes"/>
    <x v="0"/>
    <x v="0"/>
    <n v="20"/>
    <n v="3"/>
    <n v="62"/>
  </r>
  <r>
    <n v="3524"/>
    <x v="278"/>
    <x v="2"/>
    <d v="2024-12-15T00:00:00"/>
    <x v="0"/>
    <n v="10"/>
    <x v="1"/>
    <s v="No"/>
    <x v="1"/>
    <x v="0"/>
    <n v="20"/>
    <n v="15"/>
    <n v="15"/>
  </r>
  <r>
    <n v="3525"/>
    <x v="279"/>
    <x v="1"/>
    <d v="2024-12-16T00:00:00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D896D-B135-49C7-9A8A-2F962350C5A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32:D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EDF13-4E6C-4507-B675-D14F2C7C8D1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6:C9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CD42FD9-A142-4D14-A413-BD3688E07A33}" sourceName="Subscription Type">
  <pivotTables>
    <pivotTable tabId="3" name="Tabela dinâmica1"/>
    <pivotTable tabId="3" name="Tabela dinâmica3"/>
  </pivotTables>
  <data>
    <tabular pivotCacheId="150684033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18B5966-28BC-4D20-B1CA-B6FC2C2FF4A1}" cache="SegmentaçãodeDados_Subscription_Type" caption="Subscription Type" style="Estilo de Segmentação de Dados 9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: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19" sqref="L1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G36"/>
  <sheetViews>
    <sheetView showGridLines="0" workbookViewId="0">
      <selection activeCell="F20" sqref="F20"/>
    </sheetView>
  </sheetViews>
  <sheetFormatPr defaultRowHeight="14.4" x14ac:dyDescent="0.3"/>
  <cols>
    <col min="2" max="3" width="17.88671875" bestFit="1" customWidth="1"/>
    <col min="4" max="4" width="34.109375" bestFit="1" customWidth="1"/>
    <col min="5" max="5" width="12.55468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6" spans="2:5" x14ac:dyDescent="0.3">
      <c r="B6" s="12" t="s">
        <v>313</v>
      </c>
      <c r="C6" t="s">
        <v>315</v>
      </c>
    </row>
    <row r="7" spans="2:5" x14ac:dyDescent="0.3">
      <c r="B7" s="13" t="s">
        <v>23</v>
      </c>
      <c r="C7" s="14">
        <v>806</v>
      </c>
    </row>
    <row r="8" spans="2:5" x14ac:dyDescent="0.3">
      <c r="B8" s="13" t="s">
        <v>19</v>
      </c>
      <c r="C8" s="14">
        <v>1502</v>
      </c>
    </row>
    <row r="9" spans="2:5" x14ac:dyDescent="0.3">
      <c r="B9" s="13" t="s">
        <v>314</v>
      </c>
      <c r="C9" s="14">
        <v>2308</v>
      </c>
    </row>
    <row r="10" spans="2:5" x14ac:dyDescent="0.3">
      <c r="E10" s="16">
        <f>GETPIVOTDATA("Total Value",$B$6)</f>
        <v>2308</v>
      </c>
    </row>
    <row r="18" spans="2:6" x14ac:dyDescent="0.3">
      <c r="B18" t="s">
        <v>317</v>
      </c>
    </row>
    <row r="20" spans="2:6" x14ac:dyDescent="0.3">
      <c r="B20" t="s">
        <v>316</v>
      </c>
    </row>
    <row r="23" spans="2:6" x14ac:dyDescent="0.3">
      <c r="F23" t="s">
        <v>318</v>
      </c>
    </row>
    <row r="28" spans="2:6" x14ac:dyDescent="0.3">
      <c r="F28" t="s">
        <v>319</v>
      </c>
    </row>
    <row r="30" spans="2:6" x14ac:dyDescent="0.3">
      <c r="C30" s="12" t="s">
        <v>16</v>
      </c>
      <c r="D30" t="s">
        <v>27</v>
      </c>
    </row>
    <row r="32" spans="2:6" x14ac:dyDescent="0.3">
      <c r="C32" s="12" t="s">
        <v>313</v>
      </c>
      <c r="D32" t="s">
        <v>322</v>
      </c>
    </row>
    <row r="33" spans="3:7" x14ac:dyDescent="0.3">
      <c r="C33" s="13" t="s">
        <v>22</v>
      </c>
      <c r="D33" s="14">
        <v>0</v>
      </c>
    </row>
    <row r="34" spans="3:7" x14ac:dyDescent="0.3">
      <c r="C34" s="13" t="s">
        <v>26</v>
      </c>
      <c r="D34" s="14">
        <v>480</v>
      </c>
    </row>
    <row r="35" spans="3:7" x14ac:dyDescent="0.3">
      <c r="C35" s="13" t="s">
        <v>18</v>
      </c>
      <c r="D35" s="14">
        <v>660</v>
      </c>
    </row>
    <row r="36" spans="3:7" x14ac:dyDescent="0.3">
      <c r="C36" s="13" t="s">
        <v>314</v>
      </c>
      <c r="D36" s="14">
        <v>1140</v>
      </c>
      <c r="G36" s="16">
        <f>GETPIVOTDATA("Minecraft Season Pass Price",$C$32)</f>
        <v>1140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B43"/>
  <sheetViews>
    <sheetView showGridLines="0" tabSelected="1" zoomScaleNormal="100" workbookViewId="0">
      <selection activeCell="O49" sqref="O49"/>
    </sheetView>
  </sheetViews>
  <sheetFormatPr defaultRowHeight="14.4" x14ac:dyDescent="0.3"/>
  <cols>
    <col min="1" max="1" width="32.33203125" style="6" customWidth="1"/>
    <col min="2" max="2" width="3.5546875" customWidth="1"/>
    <col min="12" max="12" width="6.5546875" customWidth="1"/>
  </cols>
  <sheetData>
    <row r="1" spans="2:28" ht="48" customHeight="1" x14ac:dyDescent="0.3"/>
    <row r="2" spans="2:28" ht="39.6" customHeight="1" x14ac:dyDescent="0.65">
      <c r="B2" s="19" t="s">
        <v>320</v>
      </c>
      <c r="C2" s="18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28" ht="27.6" customHeight="1" x14ac:dyDescent="0.3"/>
    <row r="4" spans="2:28" ht="51" customHeight="1" x14ac:dyDescent="0.3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2:28" ht="51" customHeight="1" x14ac:dyDescent="0.3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2:28" ht="9.75" customHeight="1" x14ac:dyDescent="0.3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2:28" ht="33" customHeight="1" x14ac:dyDescent="0.3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2:28" x14ac:dyDescent="0.3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2:28" x14ac:dyDescent="0.3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2:28" x14ac:dyDescent="0.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2:28" x14ac:dyDescent="0.3">
      <c r="B11" s="15"/>
      <c r="C11" s="15"/>
      <c r="D11" s="15"/>
      <c r="E11" s="15"/>
      <c r="F11" s="15"/>
      <c r="G11" s="15"/>
      <c r="H11" s="15"/>
      <c r="I11" s="15"/>
      <c r="J11" s="15"/>
      <c r="K11" s="15" t="s">
        <v>321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2:28" x14ac:dyDescent="0.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2:28" x14ac:dyDescent="0.3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2:28" x14ac:dyDescent="0.3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2:28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2:28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2:28" x14ac:dyDescent="0.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2:28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2:28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2:28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2:28" x14ac:dyDescent="0.3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2:28" x14ac:dyDescent="0.3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2:28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2:28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2:28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2:28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2:28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2:28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2:28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2:28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2:28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2:28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2:28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2:28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2:28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2:28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2:28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2:28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2:2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2:2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2:2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2:2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2:28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Fernanda Uchoa</cp:lastModifiedBy>
  <dcterms:created xsi:type="dcterms:W3CDTF">2024-12-19T13:13:10Z</dcterms:created>
  <dcterms:modified xsi:type="dcterms:W3CDTF">2026-01-28T19:02:56Z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